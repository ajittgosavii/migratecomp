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  <sheet xmlns:r="http://schemas.openxmlformats.org/officeDocument/2006/relationships" name="Cost by Clou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$#,##0"/>
    <numFmt numFmtId="166" formatCode="0&quot;%&quot;"/>
    <numFmt numFmtId="167" formatCode="0.0%"/>
    <numFmt numFmtId="168" formatCode="+0%;-0%"/>
  </numFmts>
  <fonts count="3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  <font>
      <b val="1"/>
    </font>
    <font>
      <b val="1"/>
      <color rgb="00006100"/>
      <sz val="14"/>
    </font>
    <font>
      <b val="1"/>
      <color rgb="00C00000"/>
      <sz val="10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6" fillId="0" borderId="1" pivotButton="0" quotePrefix="0" xfId="0"/>
    <xf numFmtId="0" fontId="36" fillId="7" borderId="1" pivotButton="0" quotePrefix="0" xfId="0"/>
    <xf numFmtId="0" fontId="0" fillId="7" borderId="1" pivotButton="0" quotePrefix="0" xfId="0"/>
    <xf numFmtId="9" fontId="0" fillId="7" borderId="1" pivotButton="0" quotePrefix="0" xfId="0"/>
    <xf numFmtId="165" fontId="0" fillId="7" borderId="1" pivotButton="0" quotePrefix="0" xfId="0"/>
    <xf numFmtId="165" fontId="31" fillId="0" borderId="1" pivotButton="0" quotePrefix="0" xfId="0"/>
    <xf numFmtId="165" fontId="37" fillId="6" borderId="1" pivotButton="0" quotePrefix="0" xfId="0"/>
    <xf numFmtId="0" fontId="2" fillId="0" borderId="0" pivotButton="0" quotePrefix="0" xfId="0"/>
    <xf numFmtId="0" fontId="38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AWS Transform+Kiro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0.3</v>
      </c>
      <c r="C6" s="5" t="inlineStr">
        <is>
          <t>68% savings. AWS Native auto-discovery is mature (agentless + agent-based), covers VMware/Hyper-V/physical well. Lacks unified multi-cloud single-pane — separate scans per platform need manual merging. [Ref: Gartner MQ 2024 + AWS Native product benchmark]</t>
        </is>
      </c>
      <c r="D6" s="5" t="inlineStr">
        <is>
          <t>Manual server-by-server inventory, spreadsheet reconciliation, app owner interviews</t>
        </is>
      </c>
      <c r="E6" s="5" t="inlineStr">
        <is>
          <t>AWS Native agentless discovery + agent-based deep scan; manual merge needed for multi-cloud consolidated view</t>
        </is>
      </c>
      <c r="F6" s="5" t="inlineStr">
        <is>
          <t>32%</t>
        </is>
      </c>
    </row>
    <row r="7">
      <c r="A7" s="5" t="inlineStr">
        <is>
          <t>App Dependency Mapping</t>
        </is>
      </c>
      <c r="B7" s="6" t="n">
        <v>0.35</v>
      </c>
      <c r="C7" s="5" t="inlineStr">
        <is>
          <t>62% savings. AWS Native dependency mapping uses network flow + process-level analysis. Good for standard dependencies but limited AI-augmented pattern detection for complex cross-app chains. [Ref: Gartner 2024 - AWS Native rated strong in discovery]</t>
        </is>
      </c>
      <c r="D7" s="5" t="inlineStr">
        <is>
          <t>Manual interviews with app owners, network trace analysis, cross-team dependency workshops</t>
        </is>
      </c>
      <c r="E7" s="5" t="inlineStr">
        <is>
          <t>AWS Native network flow + process analysis; manual validation still needed for 35-40% of dependencies</t>
        </is>
      </c>
      <c r="F7" s="5" t="inlineStr">
        <is>
          <t>38%</t>
        </is>
      </c>
    </row>
    <row r="8">
      <c r="A8" s="5" t="inlineStr">
        <is>
          <t>Database Analysis</t>
        </is>
      </c>
      <c r="B8" s="6" t="n">
        <v>0.28</v>
      </c>
      <c r="C8" s="5" t="inlineStr">
        <is>
          <t>65% savings. AWS Native integrates with AWS SCT/Azure DMA for schema analysis. Standard tool integration — no additional AI-assisted fix layer beyond what SCT provides. [Ref: AWS SCT docs + AWS Native integration docs]</t>
        </is>
      </c>
      <c r="D8" s="5" t="inlineStr">
        <is>
          <t>Manual schema review, stored proc analysis, compatibility matrix building</t>
        </is>
      </c>
      <c r="E8" s="5" t="inlineStr">
        <is>
          <t>AWS Native wraps SCT/DMA scanning; standard compatibility reports without AI-suggested fixes for unconverted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0.25</v>
      </c>
      <c r="C9" s="5" t="inlineStr">
        <is>
          <t>70% savings. AWS Native collects performance metrics via APIs — similar to industry standard. CloudWatch/Azure Monitor integration is well-implemented. [Ref: AWS CloudWatch + AWS Native perf module]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AWS Native API-driven metric collection +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0.42</v>
      </c>
      <c r="C10" s="5" t="inlineStr">
        <is>
          <t>50% savings. AWS Native has basic compliance checking but no dedicated compliance microservice. NERC CIP evidence collection is largely manual regardless of tool. [Ref: NERC CIP requirements + AWS Native docs]</t>
        </is>
      </c>
      <c r="D10" s="5" t="inlineStr">
        <is>
          <t>Manual control review, evidence collection, policy mapping, regulatory documentation</t>
        </is>
      </c>
      <c r="E10" s="5" t="inlineStr">
        <is>
          <t>AWS Native basic compliance rules + gap flagging; manual evidence collection and NERC CIP sign-off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0.35</v>
      </c>
      <c r="C11" s="5" t="inlineStr">
        <is>
          <t>58% savings. AWS Native has license tracking module but limited AI-driven BYOL eligibility analysis. Standard CMDB-driven approach. [Ref: Flexera 2024 + AWS Native license module]</t>
        </is>
      </c>
      <c r="D11" s="5" t="inlineStr">
        <is>
          <t>Manual license inventory, vendor contract review, BYOL eligibility assessment</t>
        </is>
      </c>
      <c r="E11" s="5" t="inlineStr">
        <is>
          <t>AWS Native CMDB-driven license inventory; manual for vendor contract interpretation and BYOL negotiation</t>
        </is>
      </c>
      <c r="F11" s="5" t="inlineStr">
        <is>
          <t>42%</t>
        </is>
      </c>
    </row>
    <row r="12">
      <c r="A12" s="5" t="inlineStr">
        <is>
          <t>TCO / Cost Modeling</t>
        </is>
      </c>
      <c r="B12" s="6" t="n">
        <v>0.28</v>
      </c>
      <c r="C12" s="5" t="inlineStr">
        <is>
          <t>70% savings. AWS Native has solid TCO modeling with cloud pricing integration. Covers AWS + Azure but requires separate runs per cloud — no single multi-cloud comparison view. [Ref: AWS Pricing + AWS Native cost module]</t>
        </is>
      </c>
      <c r="D12" s="5" t="inlineStr">
        <is>
          <t>Manual spreadsheet modeling, vendor quote gathering, assumption documentation</t>
        </is>
      </c>
      <c r="E12" s="5" t="inlineStr">
        <is>
          <t>AWS Native auto-generated TCO per cloud platform; manual consolidation for multi-cloud comparison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0.35</v>
      </c>
      <c r="C13" s="5" t="inlineStr">
        <is>
          <t>62% savings. AWS Native wave planning uses dependency data + configurable rules. Functional but rule-based rather than AI-optimized — adequate for most scenarios. [Ref: McKinsey 2023 + AWS Native wave planner]</t>
        </is>
      </c>
      <c r="D13" s="5" t="inlineStr">
        <is>
          <t>Manual dependency review, stakeholder negotiation, change window scheduling</t>
        </is>
      </c>
      <c r="E13" s="5" t="inlineStr">
        <is>
          <t>AWS Native rule-based wave grouping from dependency data; manual for stakeholder alignment and change windows</t>
        </is>
      </c>
      <c r="F13" s="5" t="inlineStr">
        <is>
          <t>38%</t>
        </is>
      </c>
    </row>
    <row r="14">
      <c r="A14" s="5" t="inlineStr">
        <is>
          <t>Landing Zone Design</t>
        </is>
      </c>
      <c r="B14" s="6" t="n">
        <v>0.3</v>
      </c>
      <c r="C14" s="5" t="inlineStr">
        <is>
          <t>65% savings (validation only — PG&amp;E provides LZ). AWS Native has LZ templates but limited auto-validation capability. [Ref: AWS Landing Zone Accelerator + AWS Native docs]</t>
        </is>
      </c>
      <c r="D14" s="5" t="inlineStr">
        <is>
          <t>Manual architecture review, compliance gap analysis, design documentation</t>
        </is>
      </c>
      <c r="E14" s="5" t="inlineStr">
        <is>
          <t>AWS Native template-based LZ design + manual readiness validation; limited automated gap detection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0.32</v>
      </c>
      <c r="C15" s="5" t="inlineStr">
        <is>
          <t>70% savings. AWS Native generates Terraform/CloudFormation templates from discovery. Good template library but less dynamic auto-population from live inventory vs purpose-built IaC generators. [Ref: HashiCorp 2024 + AWS Native IaC module]</t>
        </is>
      </c>
      <c r="D15" s="5" t="inlineStr">
        <is>
          <t>Manual HCL writing, module development, testing, review iterations</t>
        </is>
      </c>
      <c r="E15" s="5" t="inlineStr">
        <is>
          <t>AWS Native Terraform template generation; manual customization still significant for complex modules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0.3</v>
      </c>
      <c r="C16" s="5" t="inlineStr">
        <is>
          <t>55% savings (Industry std: 60%). AWS Native has limited containerization support — basic Dockerfile templates but no AI source-code analysis for runtime dependency detection. Containerization is not AWS Native core strength. [Ref: CNCF 2024 + AWS Native product scope]</t>
        </is>
      </c>
      <c r="D16" s="5" t="inlineStr">
        <is>
          <t>Manual Dockerfile creation, K8s manifest writing, Helm chart development</t>
        </is>
      </c>
      <c r="E16" s="5" t="inlineStr">
        <is>
          <t>AWS Native basic Dockerfile templates; manual creation still needed for most non-trivial containerization</t>
        </is>
      </c>
      <c r="F16" s="5" t="inlineStr">
        <is>
          <t>45%</t>
        </is>
      </c>
    </row>
    <row r="17">
      <c r="A17" s="5" t="inlineStr">
        <is>
          <t>Framework Upgrades</t>
        </is>
      </c>
      <c r="B17" s="6" t="n">
        <v>0.35</v>
      </c>
      <c r="C17" s="5" t="inlineStr">
        <is>
          <t>42% savings. AWS Native does not provide framework upgrade assistance — this is outside AWS Native platform scope. Standard developer tooling (IDE + Copilot) applies. [Ref: AWS Native product scope — migration automation, not code modernization]</t>
        </is>
      </c>
      <c r="D17" s="5" t="inlineStr">
        <is>
          <t>Manual code refactoring, dependency updates, regression fixing, build testing</t>
        </is>
      </c>
      <c r="E17" s="5" t="inlineStr">
        <is>
          <t>No AWS Native capability here; standard IDE + Copilot assist for code changes</t>
        </is>
      </c>
      <c r="F17" s="5" t="inlineStr">
        <is>
          <t>58%</t>
        </is>
      </c>
    </row>
    <row r="18">
      <c r="A18" s="5" t="inlineStr">
        <is>
          <t>Middleware Migration</t>
        </is>
      </c>
      <c r="B18" s="6" t="n">
        <v>0.45</v>
      </c>
      <c r="C18" s="5" t="inlineStr">
        <is>
          <t>42% savings. AWS Native has limited middleware migration support — basic config export for common middleware but no deep plugin compatibility analysis. [Ref: AWS Native product scope]</t>
        </is>
      </c>
      <c r="D18" s="5" t="inlineStr">
        <is>
          <t>Manual config extraction, version migration, plugin compatibility testing</t>
        </is>
      </c>
      <c r="E18" s="5" t="inlineStr">
        <is>
          <t>AWS Native basic middleware config export; manual migration for custom plugins and job scheduling</t>
        </is>
      </c>
      <c r="F18" s="5" t="inlineStr">
        <is>
          <t>58%</t>
        </is>
      </c>
    </row>
    <row r="19">
      <c r="A19" s="5" t="inlineStr">
        <is>
          <t>Schema Conversion</t>
        </is>
      </c>
      <c r="B19" s="6" t="n">
        <v>0.3</v>
      </c>
      <c r="C19" s="5" t="inlineStr">
        <is>
          <t>60% savings. AWS Native wraps standard SCT/DMA — no additional AI-assisted fix layer. Complex stored proc conversion remains fully manual DBA work. [Ref: AWS SCT tiers + AWS Native DB module]</t>
        </is>
      </c>
      <c r="D19" s="5" t="inlineStr">
        <is>
          <t>Manual stored proc rewriting, trigger conversion, cross-DB reference resolution</t>
        </is>
      </c>
      <c r="E19" s="5" t="inlineStr">
        <is>
          <t>AWS Native wraps SCT auto-conversion; no AI pattern matching for unconverted objects — manual DBA rewrite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0.4</v>
      </c>
      <c r="C20" s="5" t="inlineStr">
        <is>
          <t>57% savings. AWS Native has workflow-based rehearsal execution. Good orchestration but limited automated outcome validation — manual checklist-based verification. [Ref: AWS Native execution module]</t>
        </is>
      </c>
      <c r="D20" s="5" t="inlineStr">
        <is>
          <t>Manual rehearsal execution, validation checklist, defect logging, re-planning</t>
        </is>
      </c>
      <c r="E20" s="5" t="inlineStr">
        <is>
          <t>AWS Native orchestrated rehearsal execution; manual validation checklist and outcome assessment</t>
        </is>
      </c>
      <c r="F20" s="5" t="inlineStr">
        <is>
          <t>43%</t>
        </is>
      </c>
    </row>
    <row r="21">
      <c r="A21" s="5" t="inlineStr">
        <is>
          <t>Rehost Execution</t>
        </is>
      </c>
      <c r="B21" s="6" t="n">
        <v>0.28</v>
      </c>
      <c r="C21" s="5" t="inlineStr">
        <is>
          <t>62% savings. AWS Native core strength — excellent rehost automation with MGN/ASR orchestration. Cutover workflow well-integrated. One of AWS Native best features. [Ref: AWS MGN + Gartner + AWS Native rehost module]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AWS Native MGN/ASR orchestration + cutover workflow; strong execution automation — manual for rollback decisions</t>
        </is>
      </c>
      <c r="F21" s="5" t="inlineStr">
        <is>
          <t>38%</t>
        </is>
      </c>
    </row>
    <row r="22">
      <c r="A22" s="5" t="inlineStr">
        <is>
          <t>Replatform Execution</t>
        </is>
      </c>
      <c r="B22" s="6" t="n">
        <v>0.38</v>
      </c>
      <c r="C22" s="5" t="inlineStr">
        <is>
          <t>55% savings. AWS Native supports basic replatform workflows (OS upgrade scripts) but less automated pre/post validation than purpose-built platforms. [Ref: Industry avg + AWS Native replatform module]</t>
        </is>
      </c>
      <c r="D22" s="5" t="inlineStr">
        <is>
          <t>Manual OS patching, DB upgrade, compatibility testing, validation</t>
        </is>
      </c>
      <c r="E22" s="5" t="inlineStr">
        <is>
          <t>AWS Native scripted OS/DB upgrades; manual pre/post validation and compatibility testing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0.35</v>
      </c>
      <c r="C23" s="5" t="inlineStr">
        <is>
          <t>52% savings. AWS Native has limited native containerization execution — relies on external CI/CD (Jenkins/GitHub Actions). No pre-configured pipeline from artifact generation. [Ref: CNCF 2024 + AWS Native product scope]</t>
        </is>
      </c>
      <c r="D23" s="5" t="inlineStr">
        <is>
          <t>Manual Docker build, push, K8s deploy, smoke test, config tuning</t>
        </is>
      </c>
      <c r="E23" s="5" t="inlineStr">
        <is>
          <t>AWS Native orchestrates external CI/CD pipeline; manual pipeline setup and config required</t>
        </is>
      </c>
      <c r="F23" s="5" t="inlineStr">
        <is>
          <t>48%</t>
        </is>
      </c>
    </row>
    <row r="24">
      <c r="A24" s="5" t="inlineStr">
        <is>
          <t>FR Testing (60%)</t>
        </is>
      </c>
      <c r="B24" s="6" t="n">
        <v>0.48</v>
      </c>
      <c r="C24" s="5" t="inlineStr">
        <is>
          <t>45% savings. AWS Native has no native test generation capability. Testing relies on external test automation frameworks (Selenium, Cypress). No AI-assisted test case generation. [Ref: Forrester TEI + AWS Native product scope]</t>
        </is>
      </c>
      <c r="D24" s="5" t="inlineStr">
        <is>
          <t>Manual test case design, execution, defect logging, root cause analysis</t>
        </is>
      </c>
      <c r="E24" s="5" t="inlineStr">
        <is>
          <t>No AWS Native test generation; standard test automation frameworks — Selenium/Cypress execution only</t>
        </is>
      </c>
      <c r="F24" s="5" t="inlineStr">
        <is>
          <t>55%</t>
        </is>
      </c>
    </row>
    <row r="25">
      <c r="A25" s="5" t="inlineStr">
        <is>
          <t>NFR Testing (30%)</t>
        </is>
      </c>
      <c r="B25" s="6" t="n">
        <v>0.52</v>
      </c>
      <c r="C25" s="5" t="inlineStr">
        <is>
          <t>47% savings. AWS Native has no performance test generation. Relies on external JMeter/Gatling. No auto-generated load scripts from traffic patterns. [Ref: Gartner + AWS Native product scope]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No AWS Native perf test support; standard JMeter/Gatling with manual scripting</t>
        </is>
      </c>
      <c r="F25" s="5" t="inlineStr">
        <is>
          <t>53%</t>
        </is>
      </c>
    </row>
    <row r="26">
      <c r="A26" s="5" t="inlineStr">
        <is>
          <t>Right-Sizing</t>
        </is>
      </c>
      <c r="B26" s="6" t="n">
        <v>0.22</v>
      </c>
      <c r="C26" s="5" t="inlineStr">
        <is>
          <t>70% savings. AWS Native integrates with cloud-native right-sizing tools (Compute Optimizer, Azure Advisor). Similar to industry standard — adds management layer. [Ref: AWS Compute Optimizer + AWS Native optimization module]</t>
        </is>
      </c>
      <c r="D26" s="5" t="inlineStr">
        <is>
          <t>Manual CloudWatch analysis, sizing spreadsheets, vendor benchmarking</t>
        </is>
      </c>
      <c r="E26" s="5" t="inlineStr">
        <is>
          <t>AWS Native wraps Compute Optimizer/Azure Advisor; cloud-native tools do the heavy lifting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0.3</v>
      </c>
      <c r="C27" s="5" t="inlineStr">
        <is>
          <t>55% savings. AWS Native has basic monitoring template deployment but limited auto-generation from discovery metadata. Standard CloudWatch/Azure Monitor setup required. [Ref: Datadog/Grafana + AWS Native docs]</t>
        </is>
      </c>
      <c r="D27" s="5" t="inlineStr">
        <is>
          <t>Manual dashboard creation, alert configuration, SLO definition, escalation setup</t>
        </is>
      </c>
      <c r="E27" s="5" t="inlineStr">
        <is>
          <t>AWS Native basic monitoring templates; manual dashboard and alert configuration still significant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0.33</v>
      </c>
      <c r="C28" s="5" t="inlineStr">
        <is>
          <t>62% savings. AWS Native is not a vulnerability management platform — requires separate Nessus/Qualys integration. No migration-context-aware CVSS triage. [Ref: Tenable/Qualys + AWS Native product scope]</t>
        </is>
      </c>
      <c r="D28" s="5" t="inlineStr">
        <is>
          <t>Manual scan scheduling, CSV export, CVSS triage, false positive validation</t>
        </is>
      </c>
      <c r="E28" s="5" t="inlineStr">
        <is>
          <t>AWS Native does not include vuln scanning; requires separate Nessus/Qualys with manual triage</t>
        </is>
      </c>
      <c r="F28" s="5" t="inlineStr">
        <is>
          <t>38%</t>
        </is>
      </c>
    </row>
    <row r="29">
      <c r="A29" s="5" t="inlineStr">
        <is>
          <t>Vuln Remediation Planning</t>
        </is>
      </c>
      <c r="B29" s="6" t="n">
        <v>0.4</v>
      </c>
      <c r="C29" s="5" t="inlineStr">
        <is>
          <t>52% savings. AWS Native has no native vuln remediation planning. Separate ServiceNow/JIRA workflows required. No migration-aware patch scheduling. [Ref: ServiceNow VR + AWS Native product scope]</t>
        </is>
      </c>
      <c r="D29" s="5" t="inlineStr">
        <is>
          <t>Manual CVE-to-patch mapping, dependency analysis, change request creation, CAB scheduling</t>
        </is>
      </c>
      <c r="E29" s="5" t="inlineStr">
        <is>
          <t>No AWS Native vuln remediation; separate ServiceNow workflows with manual patch-migration coordination</t>
        </is>
      </c>
      <c r="F29" s="5" t="inlineStr">
        <is>
          <t>48%</t>
        </is>
      </c>
    </row>
    <row r="30">
      <c r="A30" s="5" t="inlineStr">
        <is>
          <t>Vuln Patch Execution</t>
        </is>
      </c>
      <c r="B30" s="6" t="n">
        <v>0.35</v>
      </c>
      <c r="C30" s="5" t="inlineStr">
        <is>
          <t>52% savings. AWS Native does not include patch management — requires separate SSM/Ansible. No auto-generated compliance evidence trail. [Ref: AWS SSM + AWS Native product scope]</t>
        </is>
      </c>
      <c r="D30" s="5" t="inlineStr">
        <is>
          <t>Manual patch deployment, snapshot creation, reboot coordination, compliance evidence</t>
        </is>
      </c>
      <c r="E30" s="5" t="inlineStr">
        <is>
          <t>No AWS Native patching capability; standard SSM/Ansible with manual compliance evidence collection</t>
        </is>
      </c>
      <c r="F30" s="5" t="inlineStr">
        <is>
          <t>48%</t>
        </is>
      </c>
    </row>
    <row r="31">
      <c r="A31" s="5" t="inlineStr">
        <is>
          <t>Vuln Continuous Monitoring</t>
        </is>
      </c>
      <c r="B31" s="6" t="n">
        <v>0.35</v>
      </c>
      <c r="C31" s="5" t="inlineStr">
        <is>
          <t>55% savings. AWS Native does not provide continuous vulnerability monitoring. Requires separate Nessus/Qualys scheduled scans + manual JIRA ticketing. [Ref: Industry avg + AWS Native product scope]</t>
        </is>
      </c>
      <c r="D31" s="5" t="inlineStr">
        <is>
          <t>Periodic manual scans, spreadsheet tracking, manual ticket creation, SLA monitoring</t>
        </is>
      </c>
      <c r="E31" s="5" t="inlineStr">
        <is>
          <t>No AWS Native continuous vuln monitoring; separate tool integration with manual ticket creation</t>
        </is>
      </c>
      <c r="F31" s="5" t="inlineStr">
        <is>
          <t>45%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~59% with AWS Transform+Kiro (Industry std: ~59% | McKinsey benchmark: 40-60%)</t>
        </is>
      </c>
    </row>
    <row r="74">
      <c r="A74" s="8" t="inlineStr">
        <is>
          <t>AWS Native tools are best-in-class for AWS targets (~65%), but do NOT cover Azure/Azure Local (~59%) — strong in discovery/execution, less differentiated in AI-augmented analysis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AWS Transform+Kiro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96" t="n"/>
      <c r="C6" s="96" t="n"/>
      <c r="D6" s="96" t="n"/>
      <c r="E6" s="96" t="n"/>
      <c r="F6" s="96" t="n"/>
      <c r="G6" s="96" t="n"/>
      <c r="H6" s="96" t="n"/>
      <c r="I6" s="96" t="n"/>
      <c r="J6" s="96" t="n"/>
      <c r="K6" s="96" t="n"/>
      <c r="L6" s="96" t="n"/>
      <c r="M6" s="96" t="n"/>
      <c r="N6" s="96" t="n"/>
      <c r="O6" s="96" t="n"/>
      <c r="P6" s="97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Scan all VMs, physical, DBs, network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AWS Native Discovery: Agentless + agent-based scan, VMware/Hyper-V/physical inventory</t>
        </is>
      </c>
      <c r="O7" s="14" t="inlineStr">
        <is>
          <t>Infrastructure Discovery</t>
        </is>
      </c>
      <c r="P7" s="14" t="inlineStr">
        <is>
          <t>4273 svrs / 100 x 5d = 214 total, split by platform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Map inter-app dependencies, all 415 apps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AWS Native Dependency: Network flow + process analysis; manual validation for 35-40% of deps</t>
        </is>
      </c>
      <c r="O8" s="14" t="inlineStr">
        <is>
          <t>App Dependency Mapping</t>
        </is>
      </c>
      <c r="P8" s="14" t="inlineStr">
        <is>
          <t>415 apps x 0.3d = 125 total, split by platform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Analyze schemas, stored procs, compatibility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AWS Native DB Module: Wraps AWS SCT/Azure DMA for schema analysis; standard reports</t>
        </is>
      </c>
      <c r="O9" s="14" t="inlineStr">
        <is>
          <t>Database Analysis</t>
        </is>
      </c>
      <c r="P9" s="14" t="inlineStr">
        <is>
          <t>DB-heavy apps analyzed per platform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Capture CPU, mem, IOPS baselines per server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AWS Native Perf: API-driven metric collection via CloudWatch/Azure Monitor</t>
        </is>
      </c>
      <c r="O10" s="14" t="inlineStr">
        <is>
          <t>Performance Baseline</t>
        </is>
      </c>
      <c r="P10" s="14" t="inlineStr">
        <is>
          <t>4273 servers, automated metric collection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compliance (NERC CIP), security gaps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AWS Native Compliance: Basic rule checking + gap flagging; no dedicated compliance service</t>
        </is>
      </c>
      <c r="O11" s="14" t="inlineStr">
        <is>
          <t>Compliance &amp; Security</t>
        </is>
      </c>
      <c r="P11" s="14" t="inlineStr">
        <is>
          <t>Regulated utility - higher residual manual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Audit Oracle, SQL Server, SAP for BYOL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AWS Native License: CMDB-driven inventory; manual BYOL analysis required</t>
        </is>
      </c>
      <c r="O12" s="14" t="inlineStr">
        <is>
          <t>License Analysis</t>
        </is>
      </c>
      <c r="P12" s="14" t="inlineStr">
        <is>
          <t>CMDB-driven license correlation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Build TCO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AWS Native Cost: TCO per cloud; manual consolidation for multi-cloud comparison</t>
        </is>
      </c>
      <c r="O13" s="14" t="inlineStr">
        <is>
          <t>TCO / Cost Modeling</t>
        </is>
      </c>
      <c r="P13" s="14" t="inlineStr">
        <is>
          <t>Auto-generated from discovery data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Classify 415 apps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AWS Native Rules: Rule-based 6R classification; less AI-augmented than purpose-built platforms</t>
        </is>
      </c>
      <c r="O14" s="14" t="inlineStr">
        <is>
          <t>Wave Planning</t>
        </is>
      </c>
      <c r="P14" s="14" t="inlineStr">
        <is>
          <t>AI classifies based on app profile</t>
        </is>
      </c>
    </row>
    <row r="15">
      <c r="A15" s="5" t="n"/>
      <c r="B15" s="5" t="inlineStr">
        <is>
          <t>Vulnerability Baseline Scan (4273 servers) [DONE]</t>
        </is>
      </c>
      <c r="C15" s="5" t="inlineStr">
        <is>
          <t>CyberSec</t>
        </is>
      </c>
      <c r="D15" s="5" t="inlineStr">
        <is>
          <t>COMPLETED - Full vuln scan of all source servers pre-migration, CVSS categorization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Not AWS Native scope: Separate Nessus/Qualys with manual CVSS triage</t>
        </is>
      </c>
      <c r="O15" s="14" t="inlineStr">
        <is>
          <t>Vuln Discovery Scan</t>
        </is>
      </c>
      <c r="P15" s="14" t="inlineStr">
        <is>
          <t>4273 servers, CVSS-prioritized report</t>
        </is>
      </c>
    </row>
    <row r="16">
      <c r="A16" s="5" t="n"/>
      <c r="B16" s="5" t="inlineStr">
        <is>
          <t>Vuln Remediation Plan (Pre-Migration) [DONE]</t>
        </is>
      </c>
      <c r="C16" s="5" t="inlineStr">
        <is>
          <t>CyberSec</t>
        </is>
      </c>
      <c r="D16" s="5" t="inlineStr">
        <is>
          <t>COMPLETED - Prioritize critical/high CVEs for remediation before migration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Not AWS Native scope: Separate ServiceNow for remediation planning</t>
        </is>
      </c>
      <c r="O16" s="14" t="inlineStr">
        <is>
          <t>Vuln Remediation Planning</t>
        </is>
      </c>
      <c r="P16" s="14" t="inlineStr">
        <is>
          <t>Fix critical CVEs before migrating workloads</t>
        </is>
      </c>
    </row>
    <row r="17">
      <c r="A17" s="10" t="inlineStr">
        <is>
          <t>Phase 2: Planning &amp; Design</t>
        </is>
      </c>
      <c r="B17" s="96" t="n"/>
      <c r="C17" s="96" t="n"/>
      <c r="D17" s="96" t="n"/>
      <c r="E17" s="96" t="n"/>
      <c r="F17" s="96" t="n"/>
      <c r="G17" s="96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7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AWS Native Wave: Rule-based wave grouping from dependency data; configurable rules engine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AWS Native LZ: Template-based design; limited automated validation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AWS Native LZ: Template-based design; limited automated validation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AWS Native LZ: Basic cluster template; manual capacity validation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AWS Native IaC: Terraform template generation; manual customization still significant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AWS Native DB: DMS task design wrapping SCT; manual CDC strategy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AWS Native: Limited containerization — basic Dockerfile templates, no AI source analysis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AWS Native Rollback: Workflow-based rollback; manual DR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AWS Native Cost: Basic downtime estimate; manual impact assessment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96" t="n"/>
      <c r="C27" s="96" t="n"/>
      <c r="D27" s="96" t="n"/>
      <c r="E27" s="96" t="n"/>
      <c r="F27" s="96" t="n"/>
      <c r="G27" s="96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7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AWS Native Executor: Terraform apply orchestration; manual for complex configs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AWS Native Executor: Terraform apply orchestration; manual for complex configs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AWS Native Executor: Basic migration orchestration; manual placement optimization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AWS Native: Basic Dockerfile templates; no AI source-code analysis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Not AWS Native scope: IDE + Copilot for code modernization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AWS Native: Basic config export; manual for custom plugins and job scheduling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AWS Native DB: SCT auto-conversion only; no AI-assisted fix layer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AWS Native Workflow: Orchestrated rehearsal; manual outcome validation via checklist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Not AWS Native scope: Manual integration testing with standard frameworks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AWS Native: Basic compliance check; manual security validation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Not AWS Native scope: Separate SSM/Ansible; manual NERC CIP evidence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7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AWS Native Execution: Workflow-based pilot; good orchestration, manual validation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AWS Native Rehost: Strong MGN/ASR orchestration + cutover — AWS Native core strength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AWS Native Replatform: Scripted upgrades; manual pre/post validation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AWS Native: External CI/CD orchestration (Jenkins/GHA); no native container pipeline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Not AWS Native scope: Standard developer tooling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AWS Native Decommission: Basic dependency check; manual confirmation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AWS Native DB: DMS task orchestration; manual monitoring and cutover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AWS Native Workflow: DNS cutover step; manual traffic validation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AWS Native Rollback: Workflow-triggered rollback; manual state verification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Not AWS Native scope: Separate Nessus/Qualys; manual delta analysis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Not AWS Native scope: Separate SSM/Ansible; manual health verification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7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Not AWS Native scope: Manual test design + Selenium/Cypress execution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Not AWS Native scope: Manual targeted testing with standard frameworks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Not AWS Native scope: Manual JMeter/Gatling scripting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Not AWS Native scope: Manual smoke testing with standard tools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Not AWS Native scope: Separate pen test tools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Not AWS Native scope: Standard JIRA/ALM for UAT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96" t="n"/>
      <c r="C58" s="96" t="n"/>
      <c r="D58" s="96" t="n"/>
      <c r="E58" s="96" t="n"/>
      <c r="F58" s="96" t="n"/>
      <c r="G58" s="96" t="n"/>
      <c r="H58" s="96" t="n"/>
      <c r="I58" s="96" t="n"/>
      <c r="J58" s="96" t="n"/>
      <c r="K58" s="96" t="n"/>
      <c r="L58" s="96" t="n"/>
      <c r="M58" s="96" t="n"/>
      <c r="N58" s="96" t="n"/>
      <c r="O58" s="96" t="n"/>
      <c r="P58" s="97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AWS Native Optimization: Wraps Compute Optimizer/Azure Advisor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AWS Native Cost: Basic RI recommendation; manual for spot and spend tracking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AWS Native: Basic monitoring templates; manual dashboard configuration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AWS Native: Basic report export; manual runbook and architecture docs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AWS Native Decommission: Basic check; manual shutdown confirmation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Not AWS Native scope: Separate Nessus/Qualys + manual JIRA ticketing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Not AWS Native scope: Separate Nessus/Qualys dashboards or manual Excel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0"/>
    <row r="31"/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72</v>
      </c>
      <c r="D35" s="7" t="n">
        <v>33</v>
      </c>
      <c r="E35" s="7" t="n">
        <v>16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115</v>
      </c>
      <c r="D36" s="7" t="n">
        <v>53</v>
      </c>
      <c r="E36" s="7" t="n">
        <v>22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90</v>
      </c>
      <c r="D37" s="7" t="n">
        <v>41</v>
      </c>
      <c r="E37" s="7" t="n">
        <v>16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48</v>
      </c>
      <c r="D38" s="7" t="n">
        <v>22</v>
      </c>
      <c r="E38" s="7" t="n">
        <v>17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33</v>
      </c>
      <c r="D39" s="7" t="n">
        <v>15</v>
      </c>
      <c r="E39" s="7" t="n">
        <v>10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56</v>
      </c>
      <c r="D40" s="7" t="n">
        <v>26</v>
      </c>
      <c r="E40" s="7" t="n">
        <v>11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35</v>
      </c>
      <c r="D41" s="7" t="n">
        <v>16</v>
      </c>
      <c r="E41" s="7" t="n">
        <v>8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22</v>
      </c>
      <c r="D42" s="7" t="n">
        <v>10</v>
      </c>
      <c r="E42" s="7" t="n">
        <v>7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72</v>
      </c>
      <c r="D43" s="7" t="n">
        <v>33</v>
      </c>
      <c r="E43" s="7" t="n">
        <v>6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52</v>
      </c>
      <c r="D44" s="7" t="n">
        <v>24</v>
      </c>
      <c r="E44" s="7" t="n">
        <v>10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6"/>
    <row r="47"/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AWS Transform+Kiro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AWS Transform+Kiro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AWS Transform+Kiro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AWS Transform+Kiro vs Industry Standard — Honest Benchmark Comparison</t>
        </is>
      </c>
    </row>
    <row r="2">
      <c r="A2" s="2" t="inlineStr">
        <is>
          <t>Industry = Generic tooling (AWS Migration Hub + separate SCT + separate Terraform + manual glue) | AWS Native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AWS Native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AWS Transform+Kiro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AWS Transform+Kiro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AWS Transform+Kiro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AWS Transform+Kiro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AWS Native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9" t="inlineStr">
        <is>
          <t>PG&amp;E Migration Cost by Cloud Platform — AWS Transform+Kiro</t>
        </is>
      </c>
    </row>
    <row r="2">
      <c r="A2" s="2" t="inlineStr">
        <is>
          <t>415 Apps | 4,273 Servers | Discovery COMPLETED | PG&amp;E provides LZ/Networking</t>
        </is>
      </c>
    </row>
    <row r="4">
      <c r="A4" s="20" t="inlineStr">
        <is>
          <t>Section A: Migration Duration by Cloud</t>
        </is>
      </c>
    </row>
    <row r="5" ht="40" customHeight="1">
      <c r="A5" s="4" t="inlineStr">
        <is>
          <t>Cloud Platform</t>
        </is>
      </c>
      <c r="B5" s="4" t="inlineStr">
        <is>
          <t>Apps</t>
        </is>
      </c>
      <c r="C5" s="4" t="inlineStr">
        <is>
          <t>Servers</t>
        </is>
      </c>
      <c r="D5" s="4" t="inlineStr">
        <is>
          <t>Traditional
Days</t>
        </is>
      </c>
      <c r="E5" s="4" t="inlineStr">
        <is>
          <t>AI Factor</t>
        </is>
      </c>
      <c r="F5" s="4" t="inlineStr">
        <is>
          <t>AI Days</t>
        </is>
      </c>
      <c r="G5" s="4" t="inlineStr">
        <is>
          <t>Days Saved</t>
        </is>
      </c>
      <c r="H5" s="4" t="inlineStr">
        <is>
          <t>Savings %</t>
        </is>
      </c>
      <c r="I5" s="4" t="inlineStr">
        <is>
          <t>Months
Saved</t>
        </is>
      </c>
    </row>
    <row r="6">
      <c r="A6" s="98" t="inlineStr">
        <is>
          <t>AWS</t>
        </is>
      </c>
      <c r="B6" s="5" t="n">
        <v>107</v>
      </c>
      <c r="C6" s="5" t="n">
        <v>719</v>
      </c>
      <c r="D6" s="5" t="n">
        <v>533</v>
      </c>
      <c r="E6" s="79" t="n">
        <v>0.34</v>
      </c>
      <c r="F6" s="5">
        <f>D6*E6</f>
        <v/>
      </c>
      <c r="G6" s="5">
        <f>D6-F6</f>
        <v/>
      </c>
      <c r="H6" s="79">
        <f>IF(D6&gt;0,(D6-F6)/D6,0)</f>
        <v/>
      </c>
      <c r="I6" s="5">
        <f>ROUND(G6/22,1)</f>
        <v/>
      </c>
    </row>
    <row r="7">
      <c r="A7" s="99" t="inlineStr">
        <is>
          <t>Azure</t>
        </is>
      </c>
      <c r="B7" s="100" t="n">
        <v>145</v>
      </c>
      <c r="C7" s="100" t="n">
        <v>852</v>
      </c>
      <c r="D7" s="100" t="n">
        <v>538</v>
      </c>
      <c r="E7" s="101" t="n">
        <v>0.5</v>
      </c>
      <c r="F7" s="100">
        <f>D7*E7</f>
        <v/>
      </c>
      <c r="G7" s="100">
        <f>D7-F7</f>
        <v/>
      </c>
      <c r="H7" s="101">
        <f>IF(D7&gt;0,(D7-F7)/D7,0)</f>
        <v/>
      </c>
      <c r="I7" s="100">
        <f>ROUND(G7/22,1)</f>
        <v/>
      </c>
    </row>
    <row r="8">
      <c r="A8" s="99" t="inlineStr">
        <is>
          <t>Azure Local / HyperV</t>
        </is>
      </c>
      <c r="B8" s="100" t="n">
        <v>130</v>
      </c>
      <c r="C8" s="100" t="n">
        <v>2702</v>
      </c>
      <c r="D8" s="100" t="n">
        <v>586</v>
      </c>
      <c r="E8" s="101" t="n">
        <v>0.52</v>
      </c>
      <c r="F8" s="100">
        <f>D8*E8</f>
        <v/>
      </c>
      <c r="G8" s="100">
        <f>D8-F8</f>
        <v/>
      </c>
      <c r="H8" s="101">
        <f>IF(D8&gt;0,(D8-F8)/D8,0)</f>
        <v/>
      </c>
      <c r="I8" s="100">
        <f>ROUND(G8/22,1)</f>
        <v/>
      </c>
    </row>
    <row r="9">
      <c r="A9" s="15" t="inlineStr">
        <is>
          <t>TOTAL</t>
        </is>
      </c>
      <c r="B9" s="15">
        <f>SUM(B6:B8)</f>
        <v/>
      </c>
      <c r="C9" s="15">
        <f>SUM(C6:C8)</f>
        <v/>
      </c>
      <c r="D9" s="15">
        <f>SUM(D6:D8)</f>
        <v/>
      </c>
      <c r="E9" s="15" t="n"/>
      <c r="F9" s="15">
        <f>SUM(F6:F8)</f>
        <v/>
      </c>
      <c r="G9" s="15">
        <f>SUM(G6:G8)</f>
        <v/>
      </c>
      <c r="H9" s="87">
        <f>IF(D9&gt;0,(D9-F9)/D9,0)</f>
        <v/>
      </c>
      <c r="I9" s="15">
        <f>ROUND(G9/22,1)</f>
        <v/>
      </c>
    </row>
    <row r="12">
      <c r="A12" s="20" t="inlineStr">
        <is>
          <t>Section B: Migration Cost by Cloud (2-Year)</t>
        </is>
      </c>
    </row>
    <row r="13" ht="40" customHeight="1">
      <c r="A13" s="4" t="inlineStr">
        <is>
          <t>Cloud Platform</t>
        </is>
      </c>
      <c r="B13" s="4" t="inlineStr">
        <is>
          <t>AI Days</t>
        </is>
      </c>
      <c r="C13" s="4" t="inlineStr">
        <is>
          <t>Avg FTEs</t>
        </is>
      </c>
      <c r="D13" s="4" t="inlineStr">
        <is>
          <t>Blended
Rate ($)</t>
        </is>
      </c>
      <c r="E13" s="4" t="inlineStr">
        <is>
          <t>Y1 Labor ($)</t>
        </is>
      </c>
      <c r="F13" s="4" t="inlineStr">
        <is>
          <t>Y2 Labor
(13% SS)</t>
        </is>
      </c>
      <c r="G13" s="4" t="inlineStr">
        <is>
          <t>Platform
License ($)</t>
        </is>
      </c>
      <c r="H13" s="4" t="inlineStr">
        <is>
          <t>Tooling &amp;
Other ($)</t>
        </is>
      </c>
      <c r="I13" s="4" t="inlineStr">
        <is>
          <t>2-Year Total ($)</t>
        </is>
      </c>
    </row>
    <row r="14">
      <c r="A14" s="98" t="inlineStr">
        <is>
          <t>AWS (107 apps)</t>
        </is>
      </c>
      <c r="B14" s="5" t="n">
        <v>181</v>
      </c>
      <c r="C14" s="5" t="n">
        <v>5</v>
      </c>
      <c r="D14" s="22" t="n">
        <v>1050</v>
      </c>
      <c r="E14" s="22">
        <f>B14*C14*D14</f>
        <v/>
      </c>
      <c r="F14" s="22">
        <f>E14*0.13</f>
        <v/>
      </c>
      <c r="G14" s="22" t="n">
        <v>0</v>
      </c>
      <c r="H14" s="22" t="n">
        <v>40000</v>
      </c>
      <c r="I14" s="22">
        <f>E14+F14+G14+H14</f>
        <v/>
      </c>
    </row>
    <row r="15">
      <c r="A15" s="99" t="inlineStr">
        <is>
          <t>Azure (145 apps)</t>
        </is>
      </c>
      <c r="B15" s="100" t="n">
        <v>269</v>
      </c>
      <c r="C15" s="100" t="n">
        <v>6</v>
      </c>
      <c r="D15" s="102" t="n">
        <v>1050</v>
      </c>
      <c r="E15" s="102">
        <f>B15*C15*D15</f>
        <v/>
      </c>
      <c r="F15" s="102">
        <f>E15*0.13</f>
        <v/>
      </c>
      <c r="G15" s="102" t="n">
        <v>0</v>
      </c>
      <c r="H15" s="102" t="n">
        <v>40000</v>
      </c>
      <c r="I15" s="102">
        <f>E15+F15+G15+H15</f>
        <v/>
      </c>
    </row>
    <row r="16">
      <c r="A16" s="99" t="inlineStr">
        <is>
          <t>Azure Local/HV (130 apps)</t>
        </is>
      </c>
      <c r="B16" s="100" t="n">
        <v>305</v>
      </c>
      <c r="C16" s="100" t="n">
        <v>6</v>
      </c>
      <c r="D16" s="102" t="n">
        <v>1050</v>
      </c>
      <c r="E16" s="102">
        <f>B16*C16*D16</f>
        <v/>
      </c>
      <c r="F16" s="102">
        <f>E16*0.13</f>
        <v/>
      </c>
      <c r="G16" s="102" t="n">
        <v>0</v>
      </c>
      <c r="H16" s="102" t="n">
        <v>40000</v>
      </c>
      <c r="I16" s="102">
        <f>E16+F16+G16+H16</f>
        <v/>
      </c>
    </row>
    <row r="17">
      <c r="A17" s="5" t="inlineStr">
        <is>
          <t>Contingency (12%)</t>
        </is>
      </c>
      <c r="B17" s="5" t="n"/>
      <c r="C17" s="5" t="n"/>
      <c r="D17" s="5" t="n"/>
      <c r="E17" s="5" t="n"/>
      <c r="F17" s="5" t="n"/>
      <c r="G17" s="5" t="n"/>
      <c r="H17" s="5" t="n"/>
      <c r="I17" s="22">
        <f>SUM(I14:I16)*0.12</f>
        <v/>
      </c>
    </row>
    <row r="18">
      <c r="A18" s="15" t="inlineStr">
        <is>
          <t>GRAND TOTAL (2-Year)</t>
        </is>
      </c>
      <c r="B18" s="15" t="n"/>
      <c r="C18" s="15" t="n"/>
      <c r="D18" s="15" t="n"/>
      <c r="E18" s="23">
        <f>SUM(E14:E16)</f>
        <v/>
      </c>
      <c r="F18" s="23">
        <f>SUM(F14:F16)</f>
        <v/>
      </c>
      <c r="G18" s="15" t="n"/>
      <c r="H18" s="15" t="n"/>
      <c r="I18" s="23">
        <f>SUM(I14:I16)+I17</f>
        <v/>
      </c>
    </row>
    <row r="20">
      <c r="A20" s="86" t="inlineStr">
        <is>
          <t>Traditional 2-Year (No AI)</t>
        </is>
      </c>
      <c r="B20" s="5" t="n"/>
      <c r="C20" s="5" t="n"/>
      <c r="D20" s="5" t="n"/>
      <c r="E20" s="5" t="n"/>
      <c r="F20" s="5" t="n"/>
      <c r="G20" s="5" t="n"/>
      <c r="H20" s="5" t="n"/>
      <c r="I20" s="103" t="n">
        <v>12349312.5</v>
      </c>
    </row>
    <row r="21">
      <c r="A21" s="77" t="inlineStr">
        <is>
          <t>NET SAVINGS</t>
        </is>
      </c>
      <c r="B21" s="5" t="n"/>
      <c r="C21" s="5" t="n"/>
      <c r="D21" s="5" t="n"/>
      <c r="E21" s="5" t="n"/>
      <c r="F21" s="5" t="n"/>
      <c r="G21" s="5" t="n"/>
      <c r="H21" s="5" t="n"/>
      <c r="I21" s="104">
        <f>I20-I18</f>
        <v/>
      </c>
    </row>
    <row r="23">
      <c r="A23" s="29" t="inlineStr">
        <is>
          <t>Tool: AWS Transform+Kiro</t>
        </is>
      </c>
    </row>
    <row r="24">
      <c r="A24" s="105" t="inlineStr">
        <is>
          <t>AWS-native: best for AWS. Azure/AzLocal use industry-std tools (50-52%)</t>
        </is>
      </c>
    </row>
    <row r="25">
      <c r="A25" s="106" t="inlineStr">
        <is>
          <t>CAVEAT: Yellow rows = Azure/AzLocal use industry-standard tools (50-52% savings), NOT AWS-native tools</t>
        </is>
      </c>
    </row>
  </sheetData>
  <mergeCells count="4">
    <mergeCell ref="A1:I1"/>
    <mergeCell ref="A12:I12"/>
    <mergeCell ref="A4:I4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2026-04-02T19:36:20Z</dcterms:created>
  <dcterms:modified xmlns:dcterms="http://purl.org/dc/terms/" xmlns:xsi="http://www.w3.org/2001/XMLSchema-instance" xsi:type="dcterms:W3CDTF">2026-04-02T20:19:58Z</dcterms:modified>
</cp:coreProperties>
</file>