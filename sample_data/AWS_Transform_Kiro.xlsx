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ssumptions" sheetId="1" state="visible" r:id="rId1"/>
    <sheet xmlns:r="http://schemas.openxmlformats.org/officeDocument/2006/relationships" name="Migration Activities" sheetId="2" state="visible" r:id="rId2"/>
    <sheet xmlns:r="http://schemas.openxmlformats.org/officeDocument/2006/relationships" name="Cost Estimation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Executive Dashboard" sheetId="5" state="visible" r:id="rId5"/>
    <sheet xmlns:r="http://schemas.openxmlformats.org/officeDocument/2006/relationships" name="Team Revenue View" sheetId="6" state="visible" r:id="rId6"/>
    <sheet xmlns:r="http://schemas.openxmlformats.org/officeDocument/2006/relationships" name="Tool vs Industry Benchmark" sheetId="7" state="visible" r:id="rId7"/>
    <sheet xmlns:r="http://schemas.openxmlformats.org/officeDocument/2006/relationships" name="Cost by Clou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&quot;%&quot;"/>
    <numFmt numFmtId="167" formatCode="0.0%"/>
    <numFmt numFmtId="168" formatCode="+0%;-0%"/>
  </numFmts>
  <fonts count="3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6666"/>
      <sz val="10"/>
    </font>
    <font>
      <b val="1"/>
      <color rgb="001F4E79"/>
      <sz val="12"/>
    </font>
    <font>
      <name val="Calibri"/>
      <b val="1"/>
      <color rgb="00FFFFFF"/>
      <sz val="11"/>
    </font>
    <font>
      <sz val="10"/>
    </font>
    <font>
      <b val="1"/>
      <color rgb="002E75B6"/>
      <sz val="10"/>
    </font>
    <font>
      <name val="Calibri"/>
      <b val="1"/>
      <color rgb="001F4E79"/>
      <sz val="11"/>
    </font>
    <font>
      <color rgb="002E75B6"/>
      <sz val="9"/>
    </font>
    <font>
      <color rgb="00666666"/>
      <sz val="9"/>
    </font>
    <font>
      <name val="Calibri"/>
      <b val="1"/>
      <sz val="11"/>
    </font>
    <font>
      <name val="Calibri"/>
      <b val="1"/>
      <color rgb="00BF8F00"/>
      <sz val="11"/>
    </font>
    <font>
      <b val="1"/>
      <color rgb="001F4E79"/>
      <sz val="14"/>
    </font>
    <font>
      <b val="1"/>
      <color rgb="001F4E79"/>
      <sz val="13"/>
    </font>
    <font>
      <name val="Calibri"/>
      <b val="1"/>
      <color rgb="00C00000"/>
      <sz val="11"/>
    </font>
    <font>
      <b val="1"/>
      <color rgb="001F4E79"/>
      <sz val="16"/>
    </font>
    <font>
      <b val="1"/>
      <color rgb="002E75B6"/>
      <sz val="11"/>
    </font>
    <font>
      <i val="1"/>
      <sz val="10"/>
    </font>
    <font>
      <name val="Calibri"/>
      <b val="1"/>
      <color rgb="001F4E79"/>
      <sz val="18"/>
    </font>
    <font>
      <name val="Calibri"/>
      <i val="1"/>
      <color rgb="00666666"/>
      <sz val="11"/>
    </font>
    <font>
      <b val="1"/>
      <color rgb="001F4E79"/>
      <sz val="11"/>
    </font>
    <font>
      <b val="1"/>
      <color rgb="00006100"/>
    </font>
    <font>
      <b val="1"/>
      <color rgb="00FFFFFF"/>
      <sz val="14"/>
    </font>
    <font>
      <b val="1"/>
      <color rgb="001F4E79"/>
      <sz val="10"/>
    </font>
    <font>
      <b val="1"/>
      <sz val="11"/>
    </font>
    <font>
      <b val="1"/>
      <color rgb="00006100"/>
      <sz val="13"/>
    </font>
    <font>
      <name val="Calibri"/>
      <b val="1"/>
      <color rgb="001F4E79"/>
      <sz val="16"/>
    </font>
    <font>
      <b val="1"/>
      <color rgb="00006100"/>
      <sz val="12"/>
    </font>
    <font>
      <b val="1"/>
      <sz val="10"/>
    </font>
    <font>
      <b val="1"/>
      <color rgb="00BF8F00"/>
    </font>
    <font>
      <b val="1"/>
      <color rgb="002E75B6"/>
    </font>
    <font>
      <b val="1"/>
      <color rgb="00C00000"/>
    </font>
    <font>
      <b val="1"/>
      <color rgb="00006100"/>
      <sz val="11"/>
    </font>
    <font>
      <b val="1"/>
      <color rgb="00BF8F00"/>
      <sz val="11"/>
    </font>
    <font>
      <b val="1"/>
      <color rgb="00C00000"/>
      <sz val="11"/>
    </font>
    <font>
      <sz val="11"/>
    </font>
    <font>
      <b val="1"/>
    </font>
    <font>
      <b val="1"/>
      <color rgb="00006100"/>
      <sz val="14"/>
    </font>
    <font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11" fillId="7" borderId="1" pivotButton="0" quotePrefix="0" xfId="0"/>
    <xf numFmtId="164" fontId="11" fillId="7" borderId="1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165" fontId="0" fillId="3" borderId="1" pivotButton="0" quotePrefix="0" xfId="0"/>
    <xf numFmtId="165" fontId="0" fillId="0" borderId="1" pivotButton="0" quotePrefix="0" xfId="0"/>
    <xf numFmtId="165" fontId="10" fillId="6" borderId="1" pivotButton="0" quotePrefix="0" xfId="0"/>
    <xf numFmtId="164" fontId="0" fillId="0" borderId="1" pivotButton="0" quotePrefix="0" xfId="0"/>
    <xf numFmtId="0" fontId="14" fillId="0" borderId="1" pivotButton="0" quotePrefix="0" xfId="0"/>
    <xf numFmtId="165" fontId="14" fillId="0" borderId="1" pivotButton="0" quotePrefix="0" xfId="0"/>
    <xf numFmtId="165" fontId="11" fillId="7" borderId="1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22" fillId="2" borderId="0" pivotButton="0" quotePrefix="0" xfId="0"/>
    <xf numFmtId="0" fontId="23" fillId="0" borderId="1" pivotButton="0" quotePrefix="0" xfId="0"/>
    <xf numFmtId="0" fontId="24" fillId="0" borderId="1" pivotButton="0" quotePrefix="0" xfId="0"/>
    <xf numFmtId="166" fontId="25" fillId="6" borderId="1" pivotButton="0" quotePrefix="0" xfId="0"/>
    <xf numFmtId="165" fontId="25" fillId="6" borderId="1" pivotButton="0" quotePrefix="0" xfId="0"/>
    <xf numFmtId="165" fontId="24" fillId="0" borderId="1" pivotButton="0" quotePrefix="0" xfId="0"/>
    <xf numFmtId="0" fontId="21" fillId="0" borderId="1" pivotButton="0" quotePrefix="0" xfId="0"/>
    <xf numFmtId="165" fontId="21" fillId="0" borderId="1" pivotButton="0" quotePrefix="0" xfId="0"/>
    <xf numFmtId="0" fontId="4" fillId="2" borderId="1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4" fillId="8" borderId="1" pivotButton="0" quotePrefix="0" xfId="0"/>
    <xf numFmtId="0" fontId="0" fillId="8" borderId="1" applyAlignment="1" pivotButton="0" quotePrefix="0" xfId="0">
      <alignment wrapText="1"/>
    </xf>
    <xf numFmtId="0" fontId="0" fillId="8" borderId="1" pivotButton="0" quotePrefix="0" xfId="0"/>
    <xf numFmtId="165" fontId="0" fillId="8" borderId="1" pivotButton="0" quotePrefix="0" xfId="0"/>
    <xf numFmtId="0" fontId="24" fillId="6" borderId="1" pivotButton="0" quotePrefix="0" xfId="0"/>
    <xf numFmtId="0" fontId="0" fillId="6" borderId="1" applyAlignment="1" pivotButton="0" quotePrefix="0" xfId="0">
      <alignment wrapText="1"/>
    </xf>
    <xf numFmtId="0" fontId="0" fillId="6" borderId="1" pivotButton="0" quotePrefix="0" xfId="0"/>
    <xf numFmtId="165" fontId="0" fillId="6" borderId="1" pivotButton="0" quotePrefix="0" xfId="0"/>
    <xf numFmtId="0" fontId="24" fillId="9" borderId="1" pivotButton="0" quotePrefix="0" xfId="0"/>
    <xf numFmtId="0" fontId="0" fillId="9" borderId="1" applyAlignment="1" pivotButton="0" quotePrefix="0" xfId="0">
      <alignment wrapText="1"/>
    </xf>
    <xf numFmtId="0" fontId="0" fillId="9" borderId="1" pivotButton="0" quotePrefix="0" xfId="0"/>
    <xf numFmtId="165" fontId="0" fillId="9" borderId="1" pivotButton="0" quotePrefix="0" xfId="0"/>
    <xf numFmtId="0" fontId="24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1" pivotButton="0" quotePrefix="0" xfId="0"/>
    <xf numFmtId="165" fontId="0" fillId="10" borderId="1" pivotButton="0" quotePrefix="0" xfId="0"/>
    <xf numFmtId="0" fontId="24" fillId="11" borderId="1" pivotButton="0" quotePrefix="0" xfId="0"/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165" fontId="0" fillId="11" borderId="1" pivotButton="0" quotePrefix="0" xfId="0"/>
    <xf numFmtId="167" fontId="0" fillId="8" borderId="1" pivotButton="0" quotePrefix="0" xfId="0"/>
    <xf numFmtId="167" fontId="0" fillId="6" borderId="1" pivotButton="0" quotePrefix="0" xfId="0"/>
    <xf numFmtId="167" fontId="0" fillId="9" borderId="1" pivotButton="0" quotePrefix="0" xfId="0"/>
    <xf numFmtId="167" fontId="0" fillId="10" borderId="1" pivotButton="0" quotePrefix="0" xfId="0"/>
    <xf numFmtId="167" fontId="0" fillId="11" borderId="1" pivotButton="0" quotePrefix="0" xfId="0"/>
    <xf numFmtId="0" fontId="24" fillId="12" borderId="1" pivotButton="0" quotePrefix="0" xfId="0"/>
    <xf numFmtId="0" fontId="0" fillId="12" borderId="1" pivotButton="0" quotePrefix="0" xfId="0"/>
    <xf numFmtId="165" fontId="0" fillId="12" borderId="1" pivotButton="0" quotePrefix="0" xfId="0"/>
    <xf numFmtId="167" fontId="0" fillId="12" borderId="1" pivotButton="0" quotePrefix="0" xfId="0"/>
    <xf numFmtId="167" fontId="10" fillId="6" borderId="1" pivotButton="0" quotePrefix="0" xfId="0"/>
    <xf numFmtId="165" fontId="27" fillId="0" borderId="1" pivotButton="0" quotePrefix="0" xfId="0"/>
    <xf numFmtId="167" fontId="27" fillId="0" borderId="1" pivotButton="0" quotePrefix="0" xfId="0"/>
    <xf numFmtId="0" fontId="5" fillId="0" borderId="1" pivotButton="0" quotePrefix="0" xfId="0"/>
    <xf numFmtId="0" fontId="27" fillId="0" borderId="1" pivotButton="0" quotePrefix="0" xfId="0"/>
    <xf numFmtId="0" fontId="28" fillId="0" borderId="1" pivotButton="0" quotePrefix="0" xfId="0"/>
    <xf numFmtId="9" fontId="0" fillId="0" borderId="1" pivotButton="0" quotePrefix="0" xfId="0"/>
    <xf numFmtId="168" fontId="21" fillId="6" borderId="1" pivotButton="0" quotePrefix="0" xfId="0"/>
    <xf numFmtId="0" fontId="0" fillId="0" borderId="1" applyAlignment="1" pivotButton="0" quotePrefix="0" xfId="0">
      <alignment wrapText="1"/>
    </xf>
    <xf numFmtId="0" fontId="29" fillId="0" borderId="1" pivotButton="0" quotePrefix="0" xfId="0"/>
    <xf numFmtId="0" fontId="30" fillId="0" borderId="1" pivotButton="0" quotePrefix="0" xfId="0"/>
    <xf numFmtId="168" fontId="0" fillId="12" borderId="1" pivotButton="0" quotePrefix="0" xfId="0"/>
    <xf numFmtId="168" fontId="29" fillId="7" borderId="1" pivotButton="0" quotePrefix="0" xfId="0"/>
    <xf numFmtId="0" fontId="31" fillId="0" borderId="1" pivotButton="0" quotePrefix="0" xfId="0"/>
    <xf numFmtId="9" fontId="10" fillId="6" borderId="1" pivotButton="0" quotePrefix="0" xfId="0"/>
    <xf numFmtId="168" fontId="10" fillId="6" borderId="1" pivotButton="0" quotePrefix="0" xfId="0"/>
    <xf numFmtId="0" fontId="12" fillId="0" borderId="0" pivotButton="0" quotePrefix="0" xfId="0"/>
    <xf numFmtId="0" fontId="32" fillId="6" borderId="0" pivotButton="0" quotePrefix="0" xfId="0"/>
    <xf numFmtId="0" fontId="5" fillId="0" borderId="0" applyAlignment="1" pivotButton="0" quotePrefix="0" xfId="0">
      <alignment wrapText="1"/>
    </xf>
    <xf numFmtId="0" fontId="33" fillId="7" borderId="0" pivotButton="0" quotePrefix="0" xfId="0"/>
    <xf numFmtId="0" fontId="34" fillId="11" borderId="0" pivotButton="0" quotePrefix="0" xfId="0"/>
    <xf numFmtId="0" fontId="24" fillId="0" borderId="0" pivotButton="0" quotePrefix="0" xfId="0"/>
    <xf numFmtId="0" fontId="3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6" fillId="0" borderId="1" pivotButton="0" quotePrefix="0" xfId="0"/>
    <xf numFmtId="0" fontId="36" fillId="7" borderId="1" pivotButton="0" quotePrefix="0" xfId="0"/>
    <xf numFmtId="0" fontId="0" fillId="7" borderId="1" pivotButton="0" quotePrefix="0" xfId="0"/>
    <xf numFmtId="9" fontId="0" fillId="7" borderId="1" pivotButton="0" quotePrefix="0" xfId="0"/>
    <xf numFmtId="165" fontId="0" fillId="7" borderId="1" pivotButton="0" quotePrefix="0" xfId="0"/>
    <xf numFmtId="165" fontId="31" fillId="0" borderId="1" pivotButton="0" quotePrefix="0" xfId="0"/>
    <xf numFmtId="165" fontId="37" fillId="6" borderId="1" pivotButton="0" quotePrefix="0" xfId="0"/>
    <xf numFmtId="0" fontId="2" fillId="0" borderId="0" pivotButton="0" quotePrefix="0" xfId="0"/>
    <xf numFmtId="0" fontId="38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Duration: Traditional vs AI-Accelerated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Dashboard'!$B$6:$B$8</f>
            </numRef>
          </val>
        </ser>
        <ser>
          <idx val="1"/>
          <order val="1"/>
          <tx>
            <strRef>
              <f>'Executive Dashboard'!C5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Cost: Traditional vs AI-Accelerated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</dLbls>
          <cat>
            <numRef>
              <f>'Executive Dashboard'!$A$13:$A$14</f>
            </numRef>
          </cat>
          <val>
            <numRef>
              <f>'Executive Dashboard'!$B$13:$B$14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Distribution by Phase (AI-Accelerated Days)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Dashboard'!B19</f>
            </strRef>
          </tx>
          <spPr>
            <a:ln xmlns:a="http://schemas.openxmlformats.org/drawingml/2006/main">
              <a:prstDash val="solid"/>
            </a:ln>
          </spPr>
          <dLbls>
            <showVal val="0"/>
            <showCatName val="1"/>
            <showPercent val="1"/>
          </dLbls>
          <cat>
            <numRef>
              <f>'Executive Dashboard'!$A$20:$A$30</f>
            </numRef>
          </cat>
          <val>
            <numRef>
              <f>'Executive Dashboard'!$B$20:$B$30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 FTE Distribution (51 Total)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Dashboard'!B35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Dashboard'!$A$36:$A$41</f>
            </numRef>
          </cat>
          <val>
            <numRef>
              <f>'Executive Dashboard'!$B$36:$B$41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415 Applications by Journey Type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Dashboard'!$A$54:$A$59</f>
            </numRef>
          </cat>
          <val>
            <numRef>
              <f>'Executive Dashboard'!$B$54:$B$59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Revenue by Team: Year 1 vs Year 2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'Team Revenue View'!I16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View'!$I$17:$I$22</f>
            </numRef>
          </val>
        </ser>
        <ser>
          <idx val="1"/>
          <order val="1"/>
          <tx>
            <strRef>
              <f>'Team Revenue View'!J16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View'!$J$17:$J$22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Team (2-Year)</a:t>
            </a:r>
          </a:p>
        </rich>
      </tx>
    </title>
    <plotArea>
      <pieChart>
        <varyColors val="1"/>
        <ser>
          <idx val="0"/>
          <order val="0"/>
          <tx>
            <strRef>
              <f>'Team Revenue View'!K16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  <showCatName val="1"/>
            <showPercent val="1"/>
          </dLbls>
          <cat>
            <numRef>
              <f>'Team Revenue View'!$A$17:$A$22</f>
            </numRef>
          </cat>
          <val>
            <numRef>
              <f>'Team Revenue View'!$K$17:$K$22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Standard vs AWS Transform+Kiro — Savings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vs Industry Benchmark'!B4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Benchmark'!$B$5:$B$28</f>
            </numRef>
          </val>
        </ser>
        <ser>
          <idx val="1"/>
          <order val="1"/>
          <tx>
            <strRef>
              <f>'Tool vs Industry Benchmark'!C4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Benchmark'!$C$5:$C$28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Savings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648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51</row>
      <rowOff>0</rowOff>
    </from>
    <ext cx="648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25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63</row>
      <rowOff>0</rowOff>
    </from>
    <ext cx="115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  <col width="40" customWidth="1" min="4" max="4"/>
    <col width="45" customWidth="1" min="5" max="5"/>
    <col width="14" customWidth="1" min="6" max="6"/>
  </cols>
  <sheetData>
    <row r="1">
      <c r="A1" s="1" t="inlineStr">
        <is>
          <t>AI Acceleration Factors - How Traditional vs AI Days Are Calculated</t>
        </is>
      </c>
    </row>
    <row r="2">
      <c r="A2" s="2" t="inlineStr">
        <is>
          <t>Yellow cells = user-adjustable inputs | Blue cells = auto-calculated formulas</t>
        </is>
      </c>
    </row>
    <row r="4">
      <c r="A4" s="3" t="inlineStr">
        <is>
          <t>Section A: AI Acceleration Multipliers by Activity Type</t>
        </is>
      </c>
    </row>
    <row r="5" ht="40" customHeight="1">
      <c r="A5" s="4" t="inlineStr">
        <is>
          <t>Activity Category</t>
        </is>
      </c>
      <c r="B5" s="4" t="inlineStr">
        <is>
          <t>AI Acceleration
Factor</t>
        </is>
      </c>
      <c r="C5" s="4" t="inlineStr">
        <is>
          <t>Explanation / How AI Reduces Time</t>
        </is>
      </c>
      <c r="D5" s="4" t="inlineStr">
        <is>
          <t>Traditional
Effort Driver</t>
        </is>
      </c>
      <c r="E5" s="4" t="inlineStr">
        <is>
          <t>AI Approach</t>
        </is>
      </c>
      <c r="F5" s="4" t="inlineStr">
        <is>
          <t>Residual
Manual %</t>
        </is>
      </c>
    </row>
    <row r="6">
      <c r="A6" s="5" t="inlineStr">
        <is>
          <t>Infrastructure Discovery</t>
        </is>
      </c>
      <c r="B6" s="6" t="n">
        <v>0.3</v>
      </c>
      <c r="C6" s="5" t="inlineStr">
        <is>
          <t>68% savings. AWS Native auto-discovery is mature (agentless + agent-based), covers VMware/Hyper-V/physical well. Lacks unified multi-cloud single-pane — separate scans per platform need manual merging. [Ref: Gartner MQ 2024 + AWS Native product benchmark]</t>
        </is>
      </c>
      <c r="D6" s="5" t="inlineStr">
        <is>
          <t>Manual server-by-server inventory, spreadsheet reconciliation, app owner interviews</t>
        </is>
      </c>
      <c r="E6" s="5" t="inlineStr">
        <is>
          <t>AWS Native agentless discovery + agent-based deep scan; manual merge needed for multi-cloud consolidated view</t>
        </is>
      </c>
      <c r="F6" s="5" t="inlineStr">
        <is>
          <t>32%</t>
        </is>
      </c>
    </row>
    <row r="7">
      <c r="A7" s="5" t="inlineStr">
        <is>
          <t>App Dependency Mapping</t>
        </is>
      </c>
      <c r="B7" s="6" t="n">
        <v>0.35</v>
      </c>
      <c r="C7" s="5" t="inlineStr">
        <is>
          <t>62% savings. AWS Native dependency mapping uses network flow + process-level analysis. Good for standard dependencies but limited AI-augmented pattern detection for complex cross-app chains. [Ref: Gartner 2024 - AWS Native rated strong in discovery]</t>
        </is>
      </c>
      <c r="D7" s="5" t="inlineStr">
        <is>
          <t>Manual interviews with app owners, network trace analysis, cross-team dependency workshops</t>
        </is>
      </c>
      <c r="E7" s="5" t="inlineStr">
        <is>
          <t>AWS Native network flow + process analysis; manual validation still needed for 35-40% of dependencies</t>
        </is>
      </c>
      <c r="F7" s="5" t="inlineStr">
        <is>
          <t>38%</t>
        </is>
      </c>
    </row>
    <row r="8">
      <c r="A8" s="5" t="inlineStr">
        <is>
          <t>Database Analysis</t>
        </is>
      </c>
      <c r="B8" s="6" t="n">
        <v>0.28</v>
      </c>
      <c r="C8" s="5" t="inlineStr">
        <is>
          <t>65% savings. AWS Native integrates with AWS SCT/Azure DMA for schema analysis. Standard tool integration — no additional AI-assisted fix layer beyond what SCT provides. [Ref: AWS SCT docs + AWS Native integration docs]</t>
        </is>
      </c>
      <c r="D8" s="5" t="inlineStr">
        <is>
          <t>Manual schema review, stored proc analysis, compatibility matrix building</t>
        </is>
      </c>
      <c r="E8" s="5" t="inlineStr">
        <is>
          <t>AWS Native wraps SCT/DMA scanning; standard compatibility reports without AI-suggested fixes for unconverted objects</t>
        </is>
      </c>
      <c r="F8" s="5" t="inlineStr">
        <is>
          <t>35%</t>
        </is>
      </c>
    </row>
    <row r="9">
      <c r="A9" s="5" t="inlineStr">
        <is>
          <t>Performance Baseline</t>
        </is>
      </c>
      <c r="B9" s="6" t="n">
        <v>0.25</v>
      </c>
      <c r="C9" s="5" t="inlineStr">
        <is>
          <t>70% savings. AWS Native collects performance metrics via APIs — similar to industry standard. CloudWatch/Azure Monitor integration is well-implemented. [Ref: AWS CloudWatch + AWS Native perf module]</t>
        </is>
      </c>
      <c r="D9" s="5" t="inlineStr">
        <is>
          <t>Manual metric collection, spreadsheet charting, baseline documentation, anomaly identification</t>
        </is>
      </c>
      <c r="E9" s="5" t="inlineStr">
        <is>
          <t>AWS Native API-driven metric collection + baseline computation; human review for threshold decisions</t>
        </is>
      </c>
      <c r="F9" s="5" t="inlineStr">
        <is>
          <t>30%</t>
        </is>
      </c>
    </row>
    <row r="10">
      <c r="A10" s="5" t="inlineStr">
        <is>
          <t>Compliance &amp; Security</t>
        </is>
      </c>
      <c r="B10" s="6" t="n">
        <v>0.42</v>
      </c>
      <c r="C10" s="5" t="inlineStr">
        <is>
          <t>50% savings. AWS Native has basic compliance checking but no dedicated compliance microservice. NERC CIP evidence collection is largely manual regardless of tool. [Ref: NERC CIP requirements + AWS Native docs]</t>
        </is>
      </c>
      <c r="D10" s="5" t="inlineStr">
        <is>
          <t>Manual control review, evidence collection, policy mapping, regulatory documentation</t>
        </is>
      </c>
      <c r="E10" s="5" t="inlineStr">
        <is>
          <t>AWS Native basic compliance rules + gap flagging; manual evidence collection and NERC CIP sign-off</t>
        </is>
      </c>
      <c r="F10" s="5" t="inlineStr">
        <is>
          <t>50%</t>
        </is>
      </c>
    </row>
    <row r="11">
      <c r="A11" s="5" t="inlineStr">
        <is>
          <t>License Analysis</t>
        </is>
      </c>
      <c r="B11" s="6" t="n">
        <v>0.35</v>
      </c>
      <c r="C11" s="5" t="inlineStr">
        <is>
          <t>58% savings. AWS Native has license tracking module but limited AI-driven BYOL eligibility analysis. Standard CMDB-driven approach. [Ref: Flexera 2024 + AWS Native license module]</t>
        </is>
      </c>
      <c r="D11" s="5" t="inlineStr">
        <is>
          <t>Manual license inventory, vendor contract review, BYOL eligibility assessment</t>
        </is>
      </c>
      <c r="E11" s="5" t="inlineStr">
        <is>
          <t>AWS Native CMDB-driven license inventory; manual for vendor contract interpretation and BYOL negotiation</t>
        </is>
      </c>
      <c r="F11" s="5" t="inlineStr">
        <is>
          <t>42%</t>
        </is>
      </c>
    </row>
    <row r="12">
      <c r="A12" s="5" t="inlineStr">
        <is>
          <t>TCO / Cost Modeling</t>
        </is>
      </c>
      <c r="B12" s="6" t="n">
        <v>0.28</v>
      </c>
      <c r="C12" s="5" t="inlineStr">
        <is>
          <t>70% savings. AWS Native has solid TCO modeling with cloud pricing integration. Covers AWS + Azure but requires separate runs per cloud — no single multi-cloud comparison view. [Ref: AWS Pricing + AWS Native cost module]</t>
        </is>
      </c>
      <c r="D12" s="5" t="inlineStr">
        <is>
          <t>Manual spreadsheet modeling, vendor quote gathering, assumption documentation</t>
        </is>
      </c>
      <c r="E12" s="5" t="inlineStr">
        <is>
          <t>AWS Native auto-generated TCO per cloud platform; manual consolidation for multi-cloud comparison</t>
        </is>
      </c>
      <c r="F12" s="5" t="inlineStr">
        <is>
          <t>30%</t>
        </is>
      </c>
    </row>
    <row r="13">
      <c r="A13" s="5" t="inlineStr">
        <is>
          <t>Wave Planning</t>
        </is>
      </c>
      <c r="B13" s="6" t="n">
        <v>0.35</v>
      </c>
      <c r="C13" s="5" t="inlineStr">
        <is>
          <t>62% savings. AWS Native wave planning uses dependency data + configurable rules. Functional but rule-based rather than AI-optimized — adequate for most scenarios. [Ref: McKinsey 2023 + AWS Native wave planner]</t>
        </is>
      </c>
      <c r="D13" s="5" t="inlineStr">
        <is>
          <t>Manual dependency review, stakeholder negotiation, change window scheduling</t>
        </is>
      </c>
      <c r="E13" s="5" t="inlineStr">
        <is>
          <t>AWS Native rule-based wave grouping from dependency data; manual for stakeholder alignment and change windows</t>
        </is>
      </c>
      <c r="F13" s="5" t="inlineStr">
        <is>
          <t>38%</t>
        </is>
      </c>
    </row>
    <row r="14">
      <c r="A14" s="5" t="inlineStr">
        <is>
          <t>Landing Zone Design</t>
        </is>
      </c>
      <c r="B14" s="6" t="n">
        <v>0.3</v>
      </c>
      <c r="C14" s="5" t="inlineStr">
        <is>
          <t>65% savings (validation only — PG&amp;E provides LZ). AWS Native has LZ templates but limited auto-validation capability. [Ref: AWS Landing Zone Accelerator + AWS Native docs]</t>
        </is>
      </c>
      <c r="D14" s="5" t="inlineStr">
        <is>
          <t>Manual architecture review, compliance gap analysis, design documentation</t>
        </is>
      </c>
      <c r="E14" s="5" t="inlineStr">
        <is>
          <t>AWS Native template-based LZ design + manual readiness validation; limited automated gap detection</t>
        </is>
      </c>
      <c r="F14" s="5" t="inlineStr">
        <is>
          <t>35%</t>
        </is>
      </c>
    </row>
    <row r="15">
      <c r="A15" s="5" t="inlineStr">
        <is>
          <t>Terraform/IaC Generation</t>
        </is>
      </c>
      <c r="B15" s="6" t="n">
        <v>0.32</v>
      </c>
      <c r="C15" s="5" t="inlineStr">
        <is>
          <t>70% savings. AWS Native generates Terraform/CloudFormation templates from discovery. Good template library but less dynamic auto-population from live inventory vs purpose-built IaC generators. [Ref: HashiCorp 2024 + AWS Native IaC module]</t>
        </is>
      </c>
      <c r="D15" s="5" t="inlineStr">
        <is>
          <t>Manual HCL writing, module development, testing, review iterations</t>
        </is>
      </c>
      <c r="E15" s="5" t="inlineStr">
        <is>
          <t>AWS Native Terraform template generation; manual customization still significant for complex modules</t>
        </is>
      </c>
      <c r="F15" s="5" t="inlineStr">
        <is>
          <t>30%</t>
        </is>
      </c>
    </row>
    <row r="16">
      <c r="A16" s="5" t="inlineStr">
        <is>
          <t>Container Artifact Gen</t>
        </is>
      </c>
      <c r="B16" s="6" t="n">
        <v>0.3</v>
      </c>
      <c r="C16" s="5" t="inlineStr">
        <is>
          <t>55% savings (Industry std: 60%). AWS Native has limited containerization support — basic Dockerfile templates but no AI source-code analysis for runtime dependency detection. Containerization is not AWS Native core strength. [Ref: CNCF 2024 + AWS Native product scope]</t>
        </is>
      </c>
      <c r="D16" s="5" t="inlineStr">
        <is>
          <t>Manual Dockerfile creation, K8s manifest writing, Helm chart development</t>
        </is>
      </c>
      <c r="E16" s="5" t="inlineStr">
        <is>
          <t>AWS Native basic Dockerfile templates; manual creation still needed for most non-trivial containerization</t>
        </is>
      </c>
      <c r="F16" s="5" t="inlineStr">
        <is>
          <t>45%</t>
        </is>
      </c>
    </row>
    <row r="17">
      <c r="A17" s="5" t="inlineStr">
        <is>
          <t>Framework Upgrades</t>
        </is>
      </c>
      <c r="B17" s="6" t="n">
        <v>0.35</v>
      </c>
      <c r="C17" s="5" t="inlineStr">
        <is>
          <t>42% savings. AWS Native does not provide framework upgrade assistance — this is outside AWS Native platform scope. Standard developer tooling (IDE + Copilot) applies. [Ref: AWS Native product scope — migration automation, not code modernization]</t>
        </is>
      </c>
      <c r="D17" s="5" t="inlineStr">
        <is>
          <t>Manual code refactoring, dependency updates, regression fixing, build testing</t>
        </is>
      </c>
      <c r="E17" s="5" t="inlineStr">
        <is>
          <t>No AWS Native capability here; standard IDE + Copilot assist for code changes</t>
        </is>
      </c>
      <c r="F17" s="5" t="inlineStr">
        <is>
          <t>58%</t>
        </is>
      </c>
    </row>
    <row r="18">
      <c r="A18" s="5" t="inlineStr">
        <is>
          <t>Middleware Migration</t>
        </is>
      </c>
      <c r="B18" s="6" t="n">
        <v>0.45</v>
      </c>
      <c r="C18" s="5" t="inlineStr">
        <is>
          <t>42% savings. AWS Native has limited middleware migration support — basic config export for common middleware but no deep plugin compatibility analysis. [Ref: AWS Native product scope]</t>
        </is>
      </c>
      <c r="D18" s="5" t="inlineStr">
        <is>
          <t>Manual config extraction, version migration, plugin compatibility testing</t>
        </is>
      </c>
      <c r="E18" s="5" t="inlineStr">
        <is>
          <t>AWS Native basic middleware config export; manual migration for custom plugins and job scheduling</t>
        </is>
      </c>
      <c r="F18" s="5" t="inlineStr">
        <is>
          <t>58%</t>
        </is>
      </c>
    </row>
    <row r="19">
      <c r="A19" s="5" t="inlineStr">
        <is>
          <t>Schema Conversion</t>
        </is>
      </c>
      <c r="B19" s="6" t="n">
        <v>0.3</v>
      </c>
      <c r="C19" s="5" t="inlineStr">
        <is>
          <t>60% savings. AWS Native wraps standard SCT/DMA — no additional AI-assisted fix layer. Complex stored proc conversion remains fully manual DBA work. [Ref: AWS SCT tiers + AWS Native DB module]</t>
        </is>
      </c>
      <c r="D19" s="5" t="inlineStr">
        <is>
          <t>Manual stored proc rewriting, trigger conversion, cross-DB reference resolution</t>
        </is>
      </c>
      <c r="E19" s="5" t="inlineStr">
        <is>
          <t>AWS Native wraps SCT auto-conversion; no AI pattern matching for unconverted objects — manual DBA rewrite</t>
        </is>
      </c>
      <c r="F19" s="5" t="inlineStr">
        <is>
          <t>40%</t>
        </is>
      </c>
    </row>
    <row r="20">
      <c r="A20" s="5" t="inlineStr">
        <is>
          <t>Rehearsal / Dry Run</t>
        </is>
      </c>
      <c r="B20" s="6" t="n">
        <v>0.4</v>
      </c>
      <c r="C20" s="5" t="inlineStr">
        <is>
          <t>57% savings. AWS Native has workflow-based rehearsal execution. Good orchestration but limited automated outcome validation — manual checklist-based verification. [Ref: AWS Native execution module]</t>
        </is>
      </c>
      <c r="D20" s="5" t="inlineStr">
        <is>
          <t>Manual rehearsal execution, validation checklist, defect logging, re-planning</t>
        </is>
      </c>
      <c r="E20" s="5" t="inlineStr">
        <is>
          <t>AWS Native orchestrated rehearsal execution; manual validation checklist and outcome assessment</t>
        </is>
      </c>
      <c r="F20" s="5" t="inlineStr">
        <is>
          <t>43%</t>
        </is>
      </c>
    </row>
    <row r="21">
      <c r="A21" s="5" t="inlineStr">
        <is>
          <t>Rehost Execution</t>
        </is>
      </c>
      <c r="B21" s="6" t="n">
        <v>0.28</v>
      </c>
      <c r="C21" s="5" t="inlineStr">
        <is>
          <t>62% savings. AWS Native core strength — excellent rehost automation with MGN/ASR orchestration. Cutover workflow well-integrated. One of AWS Native best features. [Ref: AWS MGN + Gartner + AWS Native rehost module]</t>
        </is>
      </c>
      <c r="D21" s="5" t="inlineStr">
        <is>
          <t>Manual server migration, replication monitoring, cutover coordination, post-migration validation</t>
        </is>
      </c>
      <c r="E21" s="5" t="inlineStr">
        <is>
          <t>AWS Native MGN/ASR orchestration + cutover workflow; strong execution automation — manual for rollback decisions</t>
        </is>
      </c>
      <c r="F21" s="5" t="inlineStr">
        <is>
          <t>38%</t>
        </is>
      </c>
    </row>
    <row r="22">
      <c r="A22" s="5" t="inlineStr">
        <is>
          <t>Replatform Execution</t>
        </is>
      </c>
      <c r="B22" s="6" t="n">
        <v>0.38</v>
      </c>
      <c r="C22" s="5" t="inlineStr">
        <is>
          <t>55% savings. AWS Native supports basic replatform workflows (OS upgrade scripts) but less automated pre/post validation than purpose-built platforms. [Ref: Industry avg + AWS Native replatform module]</t>
        </is>
      </c>
      <c r="D22" s="5" t="inlineStr">
        <is>
          <t>Manual OS patching, DB upgrade, compatibility testing, validation</t>
        </is>
      </c>
      <c r="E22" s="5" t="inlineStr">
        <is>
          <t>AWS Native scripted OS/DB upgrades; manual pre/post validation and compatibility testing</t>
        </is>
      </c>
      <c r="F22" s="5" t="inlineStr">
        <is>
          <t>45%</t>
        </is>
      </c>
    </row>
    <row r="23">
      <c r="A23" s="5" t="inlineStr">
        <is>
          <t>Containerize Execution</t>
        </is>
      </c>
      <c r="B23" s="6" t="n">
        <v>0.35</v>
      </c>
      <c r="C23" s="5" t="inlineStr">
        <is>
          <t>52% savings. AWS Native has limited native containerization execution — relies on external CI/CD (Jenkins/GitHub Actions). No pre-configured pipeline from artifact generation. [Ref: CNCF 2024 + AWS Native product scope]</t>
        </is>
      </c>
      <c r="D23" s="5" t="inlineStr">
        <is>
          <t>Manual Docker build, push, K8s deploy, smoke test, config tuning</t>
        </is>
      </c>
      <c r="E23" s="5" t="inlineStr">
        <is>
          <t>AWS Native orchestrates external CI/CD pipeline; manual pipeline setup and config required</t>
        </is>
      </c>
      <c r="F23" s="5" t="inlineStr">
        <is>
          <t>48%</t>
        </is>
      </c>
    </row>
    <row r="24">
      <c r="A24" s="5" t="inlineStr">
        <is>
          <t>FR Testing (60%)</t>
        </is>
      </c>
      <c r="B24" s="6" t="n">
        <v>0.48</v>
      </c>
      <c r="C24" s="5" t="inlineStr">
        <is>
          <t>45% savings. AWS Native has no native test generation capability. Testing relies on external test automation frameworks (Selenium, Cypress). No AI-assisted test case generation. [Ref: Forrester TEI + AWS Native product scope]</t>
        </is>
      </c>
      <c r="D24" s="5" t="inlineStr">
        <is>
          <t>Manual test case design, execution, defect logging, root cause analysis</t>
        </is>
      </c>
      <c r="E24" s="5" t="inlineStr">
        <is>
          <t>No AWS Native test generation; standard test automation frameworks — Selenium/Cypress execution only</t>
        </is>
      </c>
      <c r="F24" s="5" t="inlineStr">
        <is>
          <t>55%</t>
        </is>
      </c>
    </row>
    <row r="25">
      <c r="A25" s="5" t="inlineStr">
        <is>
          <t>NFR Testing (30%)</t>
        </is>
      </c>
      <c r="B25" s="6" t="n">
        <v>0.52</v>
      </c>
      <c r="C25" s="5" t="inlineStr">
        <is>
          <t>47% savings. AWS Native has no performance test generation. Relies on external JMeter/Gatling. No auto-generated load scripts from traffic patterns. [Ref: Gartner + AWS Native product scope]</t>
        </is>
      </c>
      <c r="D25" s="5" t="inlineStr">
        <is>
          <t>Manual JMeter/Gatling scripting, scenario design, result analysis, bottleneck identification</t>
        </is>
      </c>
      <c r="E25" s="5" t="inlineStr">
        <is>
          <t>No AWS Native perf test support; standard JMeter/Gatling with manual scripting</t>
        </is>
      </c>
      <c r="F25" s="5" t="inlineStr">
        <is>
          <t>53%</t>
        </is>
      </c>
    </row>
    <row r="26">
      <c r="A26" s="5" t="inlineStr">
        <is>
          <t>Right-Sizing</t>
        </is>
      </c>
      <c r="B26" s="6" t="n">
        <v>0.22</v>
      </c>
      <c r="C26" s="5" t="inlineStr">
        <is>
          <t>70% savings. AWS Native integrates with cloud-native right-sizing tools (Compute Optimizer, Azure Advisor). Similar to industry standard — adds management layer. [Ref: AWS Compute Optimizer + AWS Native optimization module]</t>
        </is>
      </c>
      <c r="D26" s="5" t="inlineStr">
        <is>
          <t>Manual CloudWatch analysis, sizing spreadsheets, vendor benchmarking</t>
        </is>
      </c>
      <c r="E26" s="5" t="inlineStr">
        <is>
          <t>AWS Native wraps Compute Optimizer/Azure Advisor; cloud-native tools do the heavy lifting</t>
        </is>
      </c>
      <c r="F26" s="5" t="inlineStr">
        <is>
          <t>30%</t>
        </is>
      </c>
    </row>
    <row r="27">
      <c r="A27" s="5" t="inlineStr">
        <is>
          <t>Monitoring Setup</t>
        </is>
      </c>
      <c r="B27" s="6" t="n">
        <v>0.3</v>
      </c>
      <c r="C27" s="5" t="inlineStr">
        <is>
          <t>55% savings. AWS Native has basic monitoring template deployment but limited auto-generation from discovery metadata. Standard CloudWatch/Azure Monitor setup required. [Ref: Datadog/Grafana + AWS Native docs]</t>
        </is>
      </c>
      <c r="D27" s="5" t="inlineStr">
        <is>
          <t>Manual dashboard creation, alert configuration, SLO definition, escalation setup</t>
        </is>
      </c>
      <c r="E27" s="5" t="inlineStr">
        <is>
          <t>AWS Native basic monitoring templates; manual dashboard and alert configuration still significant</t>
        </is>
      </c>
      <c r="F27" s="5" t="inlineStr">
        <is>
          <t>45%</t>
        </is>
      </c>
    </row>
    <row r="28">
      <c r="A28" s="5" t="inlineStr">
        <is>
          <t>Vuln Discovery Scan</t>
        </is>
      </c>
      <c r="B28" s="6" t="n">
        <v>0.33</v>
      </c>
      <c r="C28" s="5" t="inlineStr">
        <is>
          <t>62% savings. AWS Native is not a vulnerability management platform — requires separate Nessus/Qualys integration. No migration-context-aware CVSS triage. [Ref: Tenable/Qualys + AWS Native product scope]</t>
        </is>
      </c>
      <c r="D28" s="5" t="inlineStr">
        <is>
          <t>Manual scan scheduling, CSV export, CVSS triage, false positive validation</t>
        </is>
      </c>
      <c r="E28" s="5" t="inlineStr">
        <is>
          <t>AWS Native does not include vuln scanning; requires separate Nessus/Qualys with manual triage</t>
        </is>
      </c>
      <c r="F28" s="5" t="inlineStr">
        <is>
          <t>38%</t>
        </is>
      </c>
    </row>
    <row r="29">
      <c r="A29" s="5" t="inlineStr">
        <is>
          <t>Vuln Remediation Planning</t>
        </is>
      </c>
      <c r="B29" s="6" t="n">
        <v>0.4</v>
      </c>
      <c r="C29" s="5" t="inlineStr">
        <is>
          <t>52% savings. AWS Native has no native vuln remediation planning. Separate ServiceNow/JIRA workflows required. No migration-aware patch scheduling. [Ref: ServiceNow VR + AWS Native product scope]</t>
        </is>
      </c>
      <c r="D29" s="5" t="inlineStr">
        <is>
          <t>Manual CVE-to-patch mapping, dependency analysis, change request creation, CAB scheduling</t>
        </is>
      </c>
      <c r="E29" s="5" t="inlineStr">
        <is>
          <t>No AWS Native vuln remediation; separate ServiceNow workflows with manual patch-migration coordination</t>
        </is>
      </c>
      <c r="F29" s="5" t="inlineStr">
        <is>
          <t>48%</t>
        </is>
      </c>
    </row>
    <row r="30">
      <c r="A30" s="5" t="inlineStr">
        <is>
          <t>Vuln Patch Execution</t>
        </is>
      </c>
      <c r="B30" s="6" t="n">
        <v>0.35</v>
      </c>
      <c r="C30" s="5" t="inlineStr">
        <is>
          <t>52% savings. AWS Native does not include patch management — requires separate SSM/Ansible. No auto-generated compliance evidence trail. [Ref: AWS SSM + AWS Native product scope]</t>
        </is>
      </c>
      <c r="D30" s="5" t="inlineStr">
        <is>
          <t>Manual patch deployment, snapshot creation, reboot coordination, compliance evidence</t>
        </is>
      </c>
      <c r="E30" s="5" t="inlineStr">
        <is>
          <t>No AWS Native patching capability; standard SSM/Ansible with manual compliance evidence collection</t>
        </is>
      </c>
      <c r="F30" s="5" t="inlineStr">
        <is>
          <t>48%</t>
        </is>
      </c>
    </row>
    <row r="31">
      <c r="A31" s="5" t="inlineStr">
        <is>
          <t>Vuln Continuous Monitoring</t>
        </is>
      </c>
      <c r="B31" s="6" t="n">
        <v>0.35</v>
      </c>
      <c r="C31" s="5" t="inlineStr">
        <is>
          <t>55% savings. AWS Native does not provide continuous vulnerability monitoring. Requires separate Nessus/Qualys scheduled scans + manual JIRA ticketing. [Ref: Industry avg + AWS Native product scope]</t>
        </is>
      </c>
      <c r="D31" s="5" t="inlineStr">
        <is>
          <t>Periodic manual scans, spreadsheet tracking, manual ticket creation, SLA monitoring</t>
        </is>
      </c>
      <c r="E31" s="5" t="inlineStr">
        <is>
          <t>No AWS Native continuous vuln monitoring; separate tool integration with manual ticket creation</t>
        </is>
      </c>
      <c r="F31" s="5" t="inlineStr">
        <is>
          <t>45%</t>
        </is>
      </c>
    </row>
    <row r="34">
      <c r="A34" s="3" t="inlineStr">
        <is>
          <t>Section B: Scale Factors (Server/App Volume Impact on Duration)</t>
        </is>
      </c>
    </row>
    <row r="35">
      <c r="A35" s="4" t="inlineStr">
        <is>
          <t>Factor</t>
        </is>
      </c>
      <c r="B35" s="4" t="inlineStr">
        <is>
          <t>Value</t>
        </is>
      </c>
      <c r="C35" s="4" t="inlineStr">
        <is>
          <t>Description</t>
        </is>
      </c>
    </row>
    <row r="36">
      <c r="A36" s="5" t="inlineStr">
        <is>
          <t>Total Applications</t>
        </is>
      </c>
      <c r="B36" s="7" t="n">
        <v>415</v>
      </c>
      <c r="C36" s="5" t="inlineStr">
        <is>
          <t>From PG&amp;E landscape analysis</t>
        </is>
      </c>
    </row>
    <row r="37">
      <c r="A37" s="5" t="inlineStr">
        <is>
          <t>Total Servers</t>
        </is>
      </c>
      <c r="B37" s="7" t="n">
        <v>4273</v>
      </c>
      <c r="C37" s="5" t="inlineStr">
        <is>
          <t>Across all platforms</t>
        </is>
      </c>
    </row>
    <row r="38">
      <c r="A38" s="5" t="inlineStr">
        <is>
          <t>AWS Apps</t>
        </is>
      </c>
      <c r="B38" s="7" t="n">
        <v>107</v>
      </c>
      <c r="C38" s="5" t="inlineStr">
        <is>
          <t>Target platform count</t>
        </is>
      </c>
    </row>
    <row r="39">
      <c r="A39" s="5" t="inlineStr">
        <is>
          <t>Azure Apps</t>
        </is>
      </c>
      <c r="B39" s="7" t="n">
        <v>145</v>
      </c>
      <c r="C39" s="5" t="inlineStr">
        <is>
          <t>Target platform count</t>
        </is>
      </c>
    </row>
    <row r="40">
      <c r="A40" s="5" t="inlineStr">
        <is>
          <t>Azure Local Apps</t>
        </is>
      </c>
      <c r="B40" s="7" t="n">
        <v>110</v>
      </c>
      <c r="C40" s="5" t="inlineStr">
        <is>
          <t>Target platform count</t>
        </is>
      </c>
    </row>
    <row r="41">
      <c r="A41" s="5" t="inlineStr">
        <is>
          <t>HyperV Apps</t>
        </is>
      </c>
      <c r="B41" s="7" t="n">
        <v>20</v>
      </c>
      <c r="C41" s="5" t="inlineStr">
        <is>
          <t>Target platform count</t>
        </is>
      </c>
    </row>
    <row r="42">
      <c r="A42" s="5" t="inlineStr">
        <is>
          <t>Containerize Apps</t>
        </is>
      </c>
      <c r="B42" s="7" t="n">
        <v>159</v>
      </c>
      <c r="C42" s="5" t="inlineStr">
        <is>
          <t>Journey type count</t>
        </is>
      </c>
    </row>
    <row r="43">
      <c r="A43" s="5" t="inlineStr">
        <is>
          <t>Lift-and-Shift Apps</t>
        </is>
      </c>
      <c r="B43" s="7" t="n">
        <v>179</v>
      </c>
      <c r="C43" s="5" t="inlineStr">
        <is>
          <t>Journey type count</t>
        </is>
      </c>
    </row>
    <row r="44">
      <c r="A44" s="5" t="inlineStr">
        <is>
          <t>Retire Apps</t>
        </is>
      </c>
      <c r="B44" s="7" t="n">
        <v>24</v>
      </c>
      <c r="C44" s="5" t="inlineStr">
        <is>
          <t>Journey type count</t>
        </is>
      </c>
    </row>
    <row r="45">
      <c r="A45" s="5" t="inlineStr">
        <is>
          <t>Base Days per Discovery (per 100 servers)</t>
        </is>
      </c>
      <c r="B45" s="7" t="n">
        <v>5</v>
      </c>
      <c r="C45" s="5" t="inlineStr">
        <is>
          <t>Industry benchmark: 5 days per 100 servers manual</t>
        </is>
      </c>
    </row>
    <row r="46">
      <c r="A46" s="5" t="inlineStr">
        <is>
          <t>Base Days per App (Dependency Map)</t>
        </is>
      </c>
      <c r="B46" s="7" t="n">
        <v>0.3</v>
      </c>
      <c r="C46" s="5" t="inlineStr">
        <is>
          <t>Industry benchmark: ~0.3 days per app manual</t>
        </is>
      </c>
    </row>
    <row r="47">
      <c r="A47" s="5" t="inlineStr">
        <is>
          <t>Base Days per App (Wave Planning)</t>
        </is>
      </c>
      <c r="B47" s="7" t="n">
        <v>0.2</v>
      </c>
      <c r="C47" s="5" t="inlineStr">
        <is>
          <t>Industry benchmark: ~0.2 days per app manual</t>
        </is>
      </c>
    </row>
    <row r="48">
      <c r="A48" s="5" t="inlineStr">
        <is>
          <t>Base Days per App (Rehost Execution)</t>
        </is>
      </c>
      <c r="B48" s="7" t="n">
        <v>0.5</v>
      </c>
      <c r="C48" s="5" t="inlineStr">
        <is>
          <t>Industry benchmark: ~0.5 days per app manual</t>
        </is>
      </c>
    </row>
    <row r="49">
      <c r="A49" s="5" t="inlineStr">
        <is>
          <t>Base Days per App (Containerize)</t>
        </is>
      </c>
      <c r="B49" s="7" t="n">
        <v>1.2</v>
      </c>
      <c r="C49" s="5" t="inlineStr">
        <is>
          <t>Industry benchmark: ~1.2 days per app manual</t>
        </is>
      </c>
    </row>
    <row r="52">
      <c r="A52" s="3" t="inlineStr">
        <is>
          <t>Section C: How Duration Is Calculated (Formula Methodology)</t>
        </is>
      </c>
    </row>
    <row r="53">
      <c r="A53" s="8" t="inlineStr">
        <is>
          <t>TRADITIONAL DAYS = Base Days per unit x Volume (apps or servers) x Complexity multiplier</t>
        </is>
      </c>
    </row>
    <row r="54">
      <c r="A54" s="8" t="inlineStr">
        <is>
          <t xml:space="preserve">   Example: Infrastructure Discovery = (4273 servers / 100) x 5 base days = ~214 person-days, split across 3 clouds</t>
        </is>
      </c>
    </row>
    <row r="55">
      <c r="A55" s="8" t="inlineStr">
        <is>
          <t xml:space="preserve">   Example: App Dependency Mapping = 415 apps x 0.3 days/app = ~125 person-days, split across 3 clouds</t>
        </is>
      </c>
    </row>
    <row r="56">
      <c r="A56" s="8" t="inlineStr"/>
    </row>
    <row r="57">
      <c r="A57" s="8" t="inlineStr">
        <is>
          <t>AI-ACCELERATED DAYS = Traditional Days x AI Acceleration Factor (from Section A)</t>
        </is>
      </c>
    </row>
    <row r="58">
      <c r="A58" s="8" t="inlineStr">
        <is>
          <t xml:space="preserve">   Example: Discovery Traditional=20 days (AWS share), AI Factor=20% =&gt; AI Days = 20 x 0.20 = 4 days</t>
        </is>
      </c>
    </row>
    <row r="59">
      <c r="A59" s="8" t="inlineStr">
        <is>
          <t xml:space="preserve">   Example: Containerize Trad=25 days, AI Factor=20% =&gt; AI Days = 25 x 0.20 = 5 days</t>
        </is>
      </c>
    </row>
    <row r="60">
      <c r="A60" s="8" t="inlineStr"/>
    </row>
    <row r="61">
      <c r="A61" s="8" t="inlineStr">
        <is>
          <t>TIME SAVED % = (Traditional - AI) / Traditional x 100</t>
        </is>
      </c>
    </row>
    <row r="62">
      <c r="A62" s="8" t="inlineStr">
        <is>
          <t xml:space="preserve">   Example: (20 - 4) / 20 x 100 = 80% time saved on discovery</t>
        </is>
      </c>
    </row>
    <row r="63">
      <c r="A63" s="8" t="inlineStr"/>
    </row>
    <row r="64">
      <c r="A64" s="8" t="inlineStr">
        <is>
          <t>KEY PRINCIPLES (Industry-Validated):</t>
        </is>
      </c>
    </row>
    <row r="65">
      <c r="A65" s="8" t="inlineStr">
        <is>
          <t>1. Discovery &amp; data-heavy activities: 60-70% savings (Gartner 2024: discovery tools reduce effort 50-70%)</t>
        </is>
      </c>
    </row>
    <row r="66">
      <c r="A66" s="8" t="inlineStr">
        <is>
          <t>2. IaC / code generation: 60-70% savings (HashiCorp: IaC reduces provisioning 60-75%)</t>
        </is>
      </c>
    </row>
    <row r="67">
      <c r="A67" s="8" t="inlineStr">
        <is>
          <t>3. Execution (Rehost/Replatform): 55-60% savings (AWS MGN automates replication, cutover manual)</t>
        </is>
      </c>
    </row>
    <row r="68">
      <c r="A68" s="8" t="inlineStr">
        <is>
          <t>4. Code-change activities (Framework, Middleware): 45% savings (GitHub Copilot: 30-50% faster)</t>
        </is>
      </c>
    </row>
    <row r="69">
      <c r="A69" s="8" t="inlineStr">
        <is>
          <t>5. Testing (FR/NFR): 50% savings (Forrester: test automation reduces execution 40-60%)</t>
        </is>
      </c>
    </row>
    <row r="70">
      <c r="A70" s="8" t="inlineStr">
        <is>
          <t>6. Compliance/NERC CIP: 50% savings (regulatory evidence collection still manual-heavy)</t>
        </is>
      </c>
    </row>
    <row r="71">
      <c r="A71" s="8" t="inlineStr">
        <is>
          <t>7. Vulnerability Management: 55-65% savings (scanning automated, triage/patching semi-manual)</t>
        </is>
      </c>
    </row>
    <row r="72">
      <c r="A72" s="8" t="inlineStr"/>
    </row>
    <row r="73">
      <c r="A73" s="8" t="inlineStr">
        <is>
          <t>OVERALL BLENDED SAVINGS: ~59% with AWS Transform+Kiro (Industry std: ~59% | McKinsey benchmark: 40-60%)</t>
        </is>
      </c>
    </row>
    <row r="74">
      <c r="A74" s="8" t="inlineStr">
        <is>
          <t>AWS Native tools are best-in-class for AWS targets (~65%), but do NOT cover Azure/Azure Local (~59%) — strong in discovery/execution, less differentiated in AI-augmented analysis</t>
        </is>
      </c>
    </row>
    <row r="75">
      <c r="A75" s="8" t="inlineStr"/>
    </row>
    <row r="76">
      <c r="A76" s="8" t="inlineStr">
        <is>
          <t>INDUSTRY REFERENCES:</t>
        </is>
      </c>
    </row>
    <row r="77">
      <c r="A77" s="8" t="inlineStr">
        <is>
          <t>- McKinsey (2023): AI accelerates cloud migration by 30-50% overall</t>
        </is>
      </c>
    </row>
    <row r="78">
      <c r="A78" s="8" t="inlineStr">
        <is>
          <t>- Gartner Magic Quadrant Migration Tools (2024): 50-70% for discovery, 45-65% for execution</t>
        </is>
      </c>
    </row>
    <row r="79">
      <c r="A79" s="8" t="inlineStr">
        <is>
          <t>- AWS Well-Architected Migration Lens: MGN replication automated, cutover manual</t>
        </is>
      </c>
    </row>
    <row r="80">
      <c r="A80" s="8" t="inlineStr">
        <is>
          <t>- Forrester TEI: Migration platforms show 40-60% efficiency gains</t>
        </is>
      </c>
    </row>
    <row r="81">
      <c r="A81" s="8" t="inlineStr">
        <is>
          <t>- Infosys Cobalt benchmarks: 30-40% acceleration on traditional, 50-65% with AI augmentation</t>
        </is>
      </c>
    </row>
    <row r="82">
      <c r="A82" s="8" t="inlineStr">
        <is>
          <t>- AWS SCT: Auto-conversion rate 60-80% depending on DB complexity tier</t>
        </is>
      </c>
    </row>
    <row r="83">
      <c r="A83" s="8" t="inlineStr">
        <is>
          <t>- HashiCorp State of Cloud (2024): IaC reduces provisioning time 60-75%</t>
        </is>
      </c>
    </row>
    <row r="84">
      <c r="A84" s="8" t="inlineStr">
        <is>
          <t>- CNCF Survey (2024): Containerization deployment 50-60% automatable</t>
        </is>
      </c>
    </row>
    <row r="85">
      <c r="A85" s="8" t="inlineStr"/>
    </row>
    <row r="86">
      <c r="A86" s="8" t="inlineStr">
        <is>
          <t>ADJUST: Change yellow cells in Section A to model scenarios:</t>
        </is>
      </c>
    </row>
    <row r="87">
      <c r="A87" s="8" t="inlineStr">
        <is>
          <t xml:space="preserve">   Conservative: Set all factors to 0.55-0.60 (40-45% savings) - defensible for skeptical stakeholders</t>
        </is>
      </c>
    </row>
    <row r="88">
      <c r="A88" s="8" t="inlineStr">
        <is>
          <t xml:space="preserve">   Moderate: Current values (45-70% savings) - industry-aligned, realistic for AI-augmented migration</t>
        </is>
      </c>
    </row>
    <row r="89">
      <c r="A89" s="8" t="inlineStr">
        <is>
          <t xml:space="preserve">   Aggressive: Set data-processing factors to 0.20-0.25 (75-80% savings) - requires mature tooling + experienced team</t>
        </is>
      </c>
    </row>
  </sheetData>
  <mergeCells count="5">
    <mergeCell ref="A2:F2"/>
    <mergeCell ref="A52:F52"/>
    <mergeCell ref="A1:F1"/>
    <mergeCell ref="A34:F3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8" customWidth="1" min="14" max="14"/>
    <col width="20" customWidth="1" min="15" max="15"/>
    <col width="42" customWidth="1" min="16" max="16"/>
  </cols>
  <sheetData>
    <row r="1">
      <c r="A1" s="1" t="inlineStr">
        <is>
          <t>PG&amp;E Cloud Migration - Activities, Duration &amp; AI Accelerator Savings</t>
        </is>
      </c>
    </row>
    <row r="2">
      <c r="A2" s="2" t="inlineStr">
        <is>
          <t>415 Apps | 4,273 Servers | All durations formula-driven from AI Assumptions tab (yellow = input, blue = formula)</t>
        </is>
      </c>
    </row>
    <row r="3">
      <c r="A3" s="9" t="inlineStr">
        <is>
          <t>CIS CLD (AWS/Azure) | CIS EIT (Azure Local/HyperV) | ADM (Containerize/Framework) | IQE (Testing) | CyberSec (Security)</t>
        </is>
      </c>
    </row>
    <row r="5" ht="45" customHeight="1">
      <c r="A5" s="4" t="inlineStr">
        <is>
          <t>Phase</t>
        </is>
      </c>
      <c r="B5" s="4" t="inlineStr">
        <is>
          <t>Activity</t>
        </is>
      </c>
      <c r="C5" s="4" t="inlineStr">
        <is>
          <t>Team</t>
        </is>
      </c>
      <c r="D5" s="4" t="inlineStr">
        <is>
          <t>Description</t>
        </is>
      </c>
      <c r="E5" s="4" t="inlineStr">
        <is>
          <t>AWS Trad
(Days)</t>
        </is>
      </c>
      <c r="F5" s="4" t="inlineStr">
        <is>
          <t>AWS AI
(Days)</t>
        </is>
      </c>
      <c r="G5" s="4" t="inlineStr">
        <is>
          <t>AWS
Saved %</t>
        </is>
      </c>
      <c r="H5" s="4" t="inlineStr">
        <is>
          <t>Azure Trad
(Days)</t>
        </is>
      </c>
      <c r="I5" s="4" t="inlineStr">
        <is>
          <t>Azure AI
(Days)</t>
        </is>
      </c>
      <c r="J5" s="4" t="inlineStr">
        <is>
          <t>Azure
Saved %</t>
        </is>
      </c>
      <c r="K5" s="4" t="inlineStr">
        <is>
          <t>AzLocal/HV
Trad (Days)</t>
        </is>
      </c>
      <c r="L5" s="4" t="inlineStr">
        <is>
          <t>AzLocal/HV
AI (Days)</t>
        </is>
      </c>
      <c r="M5" s="4" t="inlineStr">
        <is>
          <t>AzLocal/HV
Saved %</t>
        </is>
      </c>
      <c r="N5" s="4" t="inlineStr">
        <is>
          <t>AWS Transform+Kiro
Accelerator Activity</t>
        </is>
      </c>
      <c r="O5" s="4" t="inlineStr">
        <is>
          <t>AI Factor
Ref</t>
        </is>
      </c>
      <c r="P5" s="4" t="inlineStr">
        <is>
          <t>How Calculated</t>
        </is>
      </c>
    </row>
    <row r="6">
      <c r="A6" s="10" t="inlineStr">
        <is>
          <t>Phase 1: Discovery &amp; Assessment [COMPLETED]</t>
        </is>
      </c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7" t="n"/>
    </row>
    <row r="7">
      <c r="A7" s="5" t="n"/>
      <c r="B7" s="5" t="inlineStr">
        <is>
          <t>Infrastructure Discovery (4273 servers) [DONE]</t>
        </is>
      </c>
      <c r="C7" s="5" t="inlineStr">
        <is>
          <t>CIS CLD + EIT</t>
        </is>
      </c>
      <c r="D7" s="5" t="inlineStr">
        <is>
          <t>COMPLETED - Scan all VMs, physical, DBs, network</t>
        </is>
      </c>
      <c r="E7" s="7" t="n">
        <v>0</v>
      </c>
      <c r="F7" s="11" t="n">
        <v>0</v>
      </c>
      <c r="G7" s="12">
        <f>IF(E7&gt;0,(E7-F7)/E7*100,0)</f>
        <v/>
      </c>
      <c r="H7" s="7" t="n">
        <v>0</v>
      </c>
      <c r="I7" s="11" t="n">
        <v>0</v>
      </c>
      <c r="J7" s="12">
        <f>IF(H7&gt;0,(H7-I7)/H7*100,0)</f>
        <v/>
      </c>
      <c r="K7" s="7" t="n">
        <v>0</v>
      </c>
      <c r="L7" s="11" t="n">
        <v>0</v>
      </c>
      <c r="M7" s="12">
        <f>IF(K7&gt;0,(K7-L7)/K7*100,0)</f>
        <v/>
      </c>
      <c r="N7" s="13" t="inlineStr">
        <is>
          <t>AWS Native Discovery: Agentless + agent-based scan, VMware/Hyper-V/physical inventory</t>
        </is>
      </c>
      <c r="O7" s="14" t="inlineStr">
        <is>
          <t>Infrastructure Discovery</t>
        </is>
      </c>
      <c r="P7" s="14" t="inlineStr">
        <is>
          <t>4273 svrs / 100 x 5d = 214 total, split by platform</t>
        </is>
      </c>
    </row>
    <row r="8">
      <c r="A8" s="5" t="n"/>
      <c r="B8" s="5" t="inlineStr">
        <is>
          <t>App Dependency Mapping (415 apps) [DONE]</t>
        </is>
      </c>
      <c r="C8" s="5" t="inlineStr">
        <is>
          <t>CIS CLD + ADM</t>
        </is>
      </c>
      <c r="D8" s="5" t="inlineStr">
        <is>
          <t>COMPLETED - Map inter-app dependencies, all 415 apps</t>
        </is>
      </c>
      <c r="E8" s="7" t="n">
        <v>0</v>
      </c>
      <c r="F8" s="11" t="n">
        <v>0</v>
      </c>
      <c r="G8" s="12">
        <f>IF(E8&gt;0,(E8-F8)/E8*100,0)</f>
        <v/>
      </c>
      <c r="H8" s="7" t="n">
        <v>0</v>
      </c>
      <c r="I8" s="11" t="n">
        <v>0</v>
      </c>
      <c r="J8" s="12">
        <f>IF(H8&gt;0,(H8-I8)/H8*100,0)</f>
        <v/>
      </c>
      <c r="K8" s="7" t="n">
        <v>0</v>
      </c>
      <c r="L8" s="11" t="n">
        <v>0</v>
      </c>
      <c r="M8" s="12">
        <f>IF(K8&gt;0,(K8-L8)/K8*100,0)</f>
        <v/>
      </c>
      <c r="N8" s="13" t="inlineStr">
        <is>
          <t>AWS Native Dependency: Network flow + process analysis; manual validation for 35-40% of deps</t>
        </is>
      </c>
      <c r="O8" s="14" t="inlineStr">
        <is>
          <t>App Dependency Mapping</t>
        </is>
      </c>
      <c r="P8" s="14" t="inlineStr">
        <is>
          <t>415 apps x 0.3d = 125 total, split by platform</t>
        </is>
      </c>
    </row>
    <row r="9">
      <c r="A9" s="5" t="n"/>
      <c r="B9" s="5" t="inlineStr">
        <is>
          <t>Database Schema Analysis [DONE]</t>
        </is>
      </c>
      <c r="C9" s="5" t="inlineStr">
        <is>
          <t>CIS CLD</t>
        </is>
      </c>
      <c r="D9" s="5" t="inlineStr">
        <is>
          <t>COMPLETED - Analyze schemas, stored procs, compatibility</t>
        </is>
      </c>
      <c r="E9" s="7" t="n">
        <v>0</v>
      </c>
      <c r="F9" s="11" t="n">
        <v>0</v>
      </c>
      <c r="G9" s="12">
        <f>IF(E9&gt;0,(E9-F9)/E9*100,0)</f>
        <v/>
      </c>
      <c r="H9" s="7" t="n">
        <v>0</v>
      </c>
      <c r="I9" s="11" t="n">
        <v>0</v>
      </c>
      <c r="J9" s="12">
        <f>IF(H9&gt;0,(H9-I9)/H9*100,0)</f>
        <v/>
      </c>
      <c r="K9" s="7" t="n">
        <v>0</v>
      </c>
      <c r="L9" s="11" t="n">
        <v>0</v>
      </c>
      <c r="M9" s="12">
        <f>IF(K9&gt;0,(K9-L9)/K9*100,0)</f>
        <v/>
      </c>
      <c r="N9" s="13" t="inlineStr">
        <is>
          <t>AWS Native DB Module: Wraps AWS SCT/Azure DMA for schema analysis; standard reports</t>
        </is>
      </c>
      <c r="O9" s="14" t="inlineStr">
        <is>
          <t>Database Analysis</t>
        </is>
      </c>
      <c r="P9" s="14" t="inlineStr">
        <is>
          <t>DB-heavy apps analyzed per platform</t>
        </is>
      </c>
    </row>
    <row r="10">
      <c r="A10" s="5" t="n"/>
      <c r="B10" s="5" t="inlineStr">
        <is>
          <t>Performance Baseline [DONE]</t>
        </is>
      </c>
      <c r="C10" s="5" t="inlineStr">
        <is>
          <t>CIS CLD + EIT</t>
        </is>
      </c>
      <c r="D10" s="5" t="inlineStr">
        <is>
          <t>COMPLETED - Capture CPU, mem, IOPS baselines per server</t>
        </is>
      </c>
      <c r="E10" s="7" t="n">
        <v>0</v>
      </c>
      <c r="F10" s="11" t="n">
        <v>0</v>
      </c>
      <c r="G10" s="12">
        <f>IF(E10&gt;0,(E10-F10)/E10*100,0)</f>
        <v/>
      </c>
      <c r="H10" s="7" t="n">
        <v>0</v>
      </c>
      <c r="I10" s="11" t="n">
        <v>0</v>
      </c>
      <c r="J10" s="12">
        <f>IF(H10&gt;0,(H10-I10)/H10*100,0)</f>
        <v/>
      </c>
      <c r="K10" s="7" t="n">
        <v>0</v>
      </c>
      <c r="L10" s="11" t="n">
        <v>0</v>
      </c>
      <c r="M10" s="12">
        <f>IF(K10&gt;0,(K10-L10)/K10*100,0)</f>
        <v/>
      </c>
      <c r="N10" s="13" t="inlineStr">
        <is>
          <t>AWS Native Perf: API-driven metric collection via CloudWatch/Azure Monitor</t>
        </is>
      </c>
      <c r="O10" s="14" t="inlineStr">
        <is>
          <t>Performance Baseline</t>
        </is>
      </c>
      <c r="P10" s="14" t="inlineStr">
        <is>
          <t>4273 servers, automated metric collection</t>
        </is>
      </c>
    </row>
    <row r="11">
      <c r="A11" s="5" t="n"/>
      <c r="B11" s="5" t="inlineStr">
        <is>
          <t>Compliance &amp; Security Audit [DONE]</t>
        </is>
      </c>
      <c r="C11" s="5" t="inlineStr">
        <is>
          <t>CyberSec</t>
        </is>
      </c>
      <c r="D11" s="5" t="inlineStr">
        <is>
          <t>COMPLETED - PG&amp;E compliance (NERC CIP), security gaps</t>
        </is>
      </c>
      <c r="E11" s="7" t="n">
        <v>0</v>
      </c>
      <c r="F11" s="11" t="n">
        <v>0</v>
      </c>
      <c r="G11" s="12">
        <f>IF(E11&gt;0,(E11-F11)/E11*100,0)</f>
        <v/>
      </c>
      <c r="H11" s="7" t="n">
        <v>0</v>
      </c>
      <c r="I11" s="11" t="n">
        <v>0</v>
      </c>
      <c r="J11" s="12">
        <f>IF(H11&gt;0,(H11-I11)/H11*100,0)</f>
        <v/>
      </c>
      <c r="K11" s="7" t="n">
        <v>0</v>
      </c>
      <c r="L11" s="11" t="n">
        <v>0</v>
      </c>
      <c r="M11" s="12">
        <f>IF(K11&gt;0,(K11-L11)/K11*100,0)</f>
        <v/>
      </c>
      <c r="N11" s="13" t="inlineStr">
        <is>
          <t>AWS Native Compliance: Basic rule checking + gap flagging; no dedicated compliance service</t>
        </is>
      </c>
      <c r="O11" s="14" t="inlineStr">
        <is>
          <t>Compliance &amp; Security</t>
        </is>
      </c>
      <c r="P11" s="14" t="inlineStr">
        <is>
          <t>Regulated utility - higher residual manual</t>
        </is>
      </c>
    </row>
    <row r="12">
      <c r="A12" s="5" t="n"/>
      <c r="B12" s="5" t="inlineStr">
        <is>
          <t>License Analysis (BYOL) [DONE]</t>
        </is>
      </c>
      <c r="C12" s="5" t="inlineStr">
        <is>
          <t>CIS CLD</t>
        </is>
      </c>
      <c r="D12" s="5" t="inlineStr">
        <is>
          <t>COMPLETED - Audit Oracle, SQL Server, SAP for BYOL</t>
        </is>
      </c>
      <c r="E12" s="7" t="n">
        <v>0</v>
      </c>
      <c r="F12" s="11" t="n">
        <v>0</v>
      </c>
      <c r="G12" s="12">
        <f>IF(E12&gt;0,(E12-F12)/E12*100,0)</f>
        <v/>
      </c>
      <c r="H12" s="7" t="n">
        <v>0</v>
      </c>
      <c r="I12" s="11" t="n">
        <v>0</v>
      </c>
      <c r="J12" s="12">
        <f>IF(H12&gt;0,(H12-I12)/H12*100,0)</f>
        <v/>
      </c>
      <c r="K12" s="7" t="n">
        <v>0</v>
      </c>
      <c r="L12" s="11" t="n">
        <v>0</v>
      </c>
      <c r="M12" s="12">
        <f>IF(K12&gt;0,(K12-L12)/K12*100,0)</f>
        <v/>
      </c>
      <c r="N12" s="13" t="inlineStr">
        <is>
          <t>AWS Native License: CMDB-driven inventory; manual BYOL analysis required</t>
        </is>
      </c>
      <c r="O12" s="14" t="inlineStr">
        <is>
          <t>License Analysis</t>
        </is>
      </c>
      <c r="P12" s="14" t="inlineStr">
        <is>
          <t>CMDB-driven license correlation</t>
        </is>
      </c>
    </row>
    <row r="13">
      <c r="A13" s="5" t="n"/>
      <c r="B13" s="5" t="inlineStr">
        <is>
          <t>TCO / Cost Modeling [DONE]</t>
        </is>
      </c>
      <c r="C13" s="5" t="inlineStr">
        <is>
          <t>CIS CLD</t>
        </is>
      </c>
      <c r="D13" s="5" t="inlineStr">
        <is>
          <t>COMPLETED - Build TCO for each target platform</t>
        </is>
      </c>
      <c r="E13" s="7" t="n">
        <v>0</v>
      </c>
      <c r="F13" s="11" t="n">
        <v>0</v>
      </c>
      <c r="G13" s="12">
        <f>IF(E13&gt;0,(E13-F13)/E13*100,0)</f>
        <v/>
      </c>
      <c r="H13" s="7" t="n">
        <v>0</v>
      </c>
      <c r="I13" s="11" t="n">
        <v>0</v>
      </c>
      <c r="J13" s="12">
        <f>IF(H13&gt;0,(H13-I13)/H13*100,0)</f>
        <v/>
      </c>
      <c r="K13" s="7" t="n">
        <v>0</v>
      </c>
      <c r="L13" s="11" t="n">
        <v>0</v>
      </c>
      <c r="M13" s="12">
        <f>IF(K13&gt;0,(K13-L13)/K13*100,0)</f>
        <v/>
      </c>
      <c r="N13" s="13" t="inlineStr">
        <is>
          <t>AWS Native Cost: TCO per cloud; manual consolidation for multi-cloud comparison</t>
        </is>
      </c>
      <c r="O13" s="14" t="inlineStr">
        <is>
          <t>TCO / Cost Modeling</t>
        </is>
      </c>
      <c r="P13" s="14" t="inlineStr">
        <is>
          <t>Auto-generated from discovery data</t>
        </is>
      </c>
    </row>
    <row r="14">
      <c r="A14" s="5" t="n"/>
      <c r="B14" s="5" t="inlineStr">
        <is>
          <t>Journey Assignment &amp; 6R [DONE]</t>
        </is>
      </c>
      <c r="C14" s="5" t="inlineStr">
        <is>
          <t>CIS CLD + ADM</t>
        </is>
      </c>
      <c r="D14" s="5" t="inlineStr">
        <is>
          <t>COMPLETED - Classify 415 apps into journeys</t>
        </is>
      </c>
      <c r="E14" s="7" t="n">
        <v>0</v>
      </c>
      <c r="F14" s="11" t="n">
        <v>0</v>
      </c>
      <c r="G14" s="12">
        <f>IF(E14&gt;0,(E14-F14)/E14*100,0)</f>
        <v/>
      </c>
      <c r="H14" s="7" t="n">
        <v>0</v>
      </c>
      <c r="I14" s="11" t="n">
        <v>0</v>
      </c>
      <c r="J14" s="12">
        <f>IF(H14&gt;0,(H14-I14)/H14*100,0)</f>
        <v/>
      </c>
      <c r="K14" s="7" t="n">
        <v>0</v>
      </c>
      <c r="L14" s="11" t="n">
        <v>0</v>
      </c>
      <c r="M14" s="12">
        <f>IF(K14&gt;0,(K14-L14)/K14*100,0)</f>
        <v/>
      </c>
      <c r="N14" s="13" t="inlineStr">
        <is>
          <t>AWS Native Rules: Rule-based 6R classification; less AI-augmented than purpose-built platforms</t>
        </is>
      </c>
      <c r="O14" s="14" t="inlineStr">
        <is>
          <t>Wave Planning</t>
        </is>
      </c>
      <c r="P14" s="14" t="inlineStr">
        <is>
          <t>AI classifies based on app profile</t>
        </is>
      </c>
    </row>
    <row r="15">
      <c r="A15" s="5" t="n"/>
      <c r="B15" s="5" t="inlineStr">
        <is>
          <t>Vulnerability Baseline Scan (4273 servers) [DONE]</t>
        </is>
      </c>
      <c r="C15" s="5" t="inlineStr">
        <is>
          <t>CyberSec</t>
        </is>
      </c>
      <c r="D15" s="5" t="inlineStr">
        <is>
          <t>COMPLETED - Full vuln scan of all source servers pre-migration, CVSS categorization</t>
        </is>
      </c>
      <c r="E15" s="7" t="n">
        <v>0</v>
      </c>
      <c r="F15" s="11" t="n">
        <v>0</v>
      </c>
      <c r="G15" s="12">
        <f>IF(E15&gt;0,(E15-F15)/E15*100,0)</f>
        <v/>
      </c>
      <c r="H15" s="7" t="n">
        <v>0</v>
      </c>
      <c r="I15" s="11" t="n">
        <v>0</v>
      </c>
      <c r="J15" s="12">
        <f>IF(H15&gt;0,(H15-I15)/H15*100,0)</f>
        <v/>
      </c>
      <c r="K15" s="7" t="n">
        <v>0</v>
      </c>
      <c r="L15" s="11" t="n">
        <v>0</v>
      </c>
      <c r="M15" s="12">
        <f>IF(K15&gt;0,(K15-L15)/K15*100,0)</f>
        <v/>
      </c>
      <c r="N15" s="13" t="inlineStr">
        <is>
          <t>Not AWS Native scope: Separate Nessus/Qualys with manual CVSS triage</t>
        </is>
      </c>
      <c r="O15" s="14" t="inlineStr">
        <is>
          <t>Vuln Discovery Scan</t>
        </is>
      </c>
      <c r="P15" s="14" t="inlineStr">
        <is>
          <t>4273 servers, CVSS-prioritized report</t>
        </is>
      </c>
    </row>
    <row r="16">
      <c r="A16" s="5" t="n"/>
      <c r="B16" s="5" t="inlineStr">
        <is>
          <t>Vuln Remediation Plan (Pre-Migration) [DONE]</t>
        </is>
      </c>
      <c r="C16" s="5" t="inlineStr">
        <is>
          <t>CyberSec</t>
        </is>
      </c>
      <c r="D16" s="5" t="inlineStr">
        <is>
          <t>COMPLETED - Prioritize critical/high CVEs for remediation before migration</t>
        </is>
      </c>
      <c r="E16" s="7" t="n">
        <v>0</v>
      </c>
      <c r="F16" s="11" t="n">
        <v>0</v>
      </c>
      <c r="G16" s="12">
        <f>IF(E16&gt;0,(E16-F16)/E16*100,0)</f>
        <v/>
      </c>
      <c r="H16" s="7" t="n">
        <v>0</v>
      </c>
      <c r="I16" s="11" t="n">
        <v>0</v>
      </c>
      <c r="J16" s="12">
        <f>IF(H16&gt;0,(H16-I16)/H16*100,0)</f>
        <v/>
      </c>
      <c r="K16" s="7" t="n">
        <v>0</v>
      </c>
      <c r="L16" s="11" t="n">
        <v>0</v>
      </c>
      <c r="M16" s="12">
        <f>IF(K16&gt;0,(K16-L16)/K16*100,0)</f>
        <v/>
      </c>
      <c r="N16" s="13" t="inlineStr">
        <is>
          <t>Not AWS Native scope: Separate ServiceNow for remediation planning</t>
        </is>
      </c>
      <c r="O16" s="14" t="inlineStr">
        <is>
          <t>Vuln Remediation Planning</t>
        </is>
      </c>
      <c r="P16" s="14" t="inlineStr">
        <is>
          <t>Fix critical CVEs before migrating workloads</t>
        </is>
      </c>
    </row>
    <row r="17">
      <c r="A17" s="10" t="inlineStr">
        <is>
          <t>Phase 2: Planning &amp; Design</t>
        </is>
      </c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7" t="n"/>
    </row>
    <row r="18">
      <c r="A18" s="5" t="n"/>
      <c r="B18" s="5" t="inlineStr">
        <is>
          <t>Wave Planning (7 waves)</t>
        </is>
      </c>
      <c r="C18" s="5" t="inlineStr">
        <is>
          <t>CIS CLD</t>
        </is>
      </c>
      <c r="D18" s="5" t="inlineStr">
        <is>
          <t>Group 415 apps into 7 waves</t>
        </is>
      </c>
      <c r="E18" s="7" t="n">
        <v>12</v>
      </c>
      <c r="F18" s="11">
        <f>ROUND(E18*'AI Assumptions'!B13,0)</f>
        <v/>
      </c>
      <c r="G18" s="12">
        <f>IF(E18&gt;0,(E18-F18)/E18*100,0)</f>
        <v/>
      </c>
      <c r="H18" s="7" t="n">
        <v>12</v>
      </c>
      <c r="I18" s="11">
        <f>ROUND(H18*'AI Assumptions'!B13,0)</f>
        <v/>
      </c>
      <c r="J18" s="12">
        <f>IF(H18&gt;0,(H18-I18)/H18*100,0)</f>
        <v/>
      </c>
      <c r="K18" s="7" t="n">
        <v>12</v>
      </c>
      <c r="L18" s="11">
        <f>ROUND(K18*'AI Assumptions'!B13,0)</f>
        <v/>
      </c>
      <c r="M18" s="12">
        <f>IF(K18&gt;0,(K18-L18)/K18*100,0)</f>
        <v/>
      </c>
      <c r="N18" s="13" t="inlineStr">
        <is>
          <t>AWS Native Wave: Rule-based wave grouping from dependency data; configurable rules engine</t>
        </is>
      </c>
      <c r="O18" s="14" t="inlineStr">
        <is>
          <t>Wave Planning</t>
        </is>
      </c>
      <c r="P18" s="14" t="inlineStr">
        <is>
          <t>415 apps x 0.2d = 83 total, graph optimization</t>
        </is>
      </c>
    </row>
    <row r="19">
      <c r="A19" s="5" t="n"/>
      <c r="B19" s="5" t="inlineStr">
        <is>
          <t>LZ Validation - AWS (PG&amp;E Provided)</t>
        </is>
      </c>
      <c r="C19" s="5" t="inlineStr">
        <is>
          <t>CIS CLD</t>
        </is>
      </c>
      <c r="D19" s="5" t="inlineStr">
        <is>
          <t>Validate PG&amp;E-built VPC/subnets/SG/IAM</t>
        </is>
      </c>
      <c r="E19" s="7" t="n">
        <v>3</v>
      </c>
      <c r="F19" s="11">
        <f>ROUND(E19*'AI Assumptions'!B14,0)</f>
        <v/>
      </c>
      <c r="G19" s="12">
        <f>IF(E19&gt;0,(E19-F19)/E19*100,0)</f>
        <v/>
      </c>
      <c r="H19" s="7" t="n">
        <v>0</v>
      </c>
      <c r="I19" s="11" t="n">
        <v>0</v>
      </c>
      <c r="J19" s="12">
        <f>IF(H19&gt;0,(H19-I19)/H19*100,0)</f>
        <v/>
      </c>
      <c r="K19" s="7" t="n">
        <v>0</v>
      </c>
      <c r="L19" s="11" t="n">
        <v>0</v>
      </c>
      <c r="M19" s="12">
        <f>IF(K19&gt;0,(K19-L19)/K19*100,0)</f>
        <v/>
      </c>
      <c r="N19" s="13" t="inlineStr">
        <is>
          <t>AWS Native LZ: Template-based design; limited automated validation</t>
        </is>
      </c>
      <c r="O19" s="14" t="inlineStr">
        <is>
          <t>Landing Zone Design</t>
        </is>
      </c>
      <c r="P19" s="14" t="inlineStr">
        <is>
          <t>PG&amp;E provides LZ; Infosys validates readiness</t>
        </is>
      </c>
    </row>
    <row r="20">
      <c r="A20" s="5" t="n"/>
      <c r="B20" s="5" t="inlineStr">
        <is>
          <t>LZ Validation - Azure (PG&amp;E Provided)</t>
        </is>
      </c>
      <c r="C20" s="5" t="inlineStr">
        <is>
          <t>CIS CLD</t>
        </is>
      </c>
      <c r="D20" s="5" t="inlineStr">
        <is>
          <t>Validate PG&amp;E-built VNet/NSG/RBAC</t>
        </is>
      </c>
      <c r="E20" s="7" t="n">
        <v>0</v>
      </c>
      <c r="F20" s="11" t="n">
        <v>0</v>
      </c>
      <c r="G20" s="12">
        <f>IF(E20&gt;0,(E20-F20)/E20*100,0)</f>
        <v/>
      </c>
      <c r="H20" s="7" t="n">
        <v>3</v>
      </c>
      <c r="I20" s="11">
        <f>ROUND(H20*'AI Assumptions'!B14,0)</f>
        <v/>
      </c>
      <c r="J20" s="12">
        <f>IF(H20&gt;0,(H20-I20)/H20*100,0)</f>
        <v/>
      </c>
      <c r="K20" s="7" t="n">
        <v>0</v>
      </c>
      <c r="L20" s="11" t="n">
        <v>0</v>
      </c>
      <c r="M20" s="12">
        <f>IF(K20&gt;0,(K20-L20)/K20*100,0)</f>
        <v/>
      </c>
      <c r="N20" s="13" t="inlineStr">
        <is>
          <t>AWS Native LZ: Template-based design; limited automated validation</t>
        </is>
      </c>
      <c r="O20" s="14" t="inlineStr">
        <is>
          <t>Landing Zone Design</t>
        </is>
      </c>
      <c r="P20" s="14" t="inlineStr">
        <is>
          <t>PG&amp;E provides LZ; Infosys validates readiness</t>
        </is>
      </c>
    </row>
    <row r="21">
      <c r="A21" s="5" t="n"/>
      <c r="B21" s="5" t="inlineStr">
        <is>
          <t>LZ Validation - AzLocal/HV (PG&amp;E Provided)</t>
        </is>
      </c>
      <c r="C21" s="5" t="inlineStr">
        <is>
          <t>CIS EIT</t>
        </is>
      </c>
      <c r="D21" s="5" t="inlineStr">
        <is>
          <t>Validate PG&amp;E-built Azure Local/HyperV</t>
        </is>
      </c>
      <c r="E21" s="7" t="n">
        <v>0</v>
      </c>
      <c r="F21" s="11" t="n">
        <v>0</v>
      </c>
      <c r="G21" s="12">
        <f>IF(E21&gt;0,(E21-F21)/E21*100,0)</f>
        <v/>
      </c>
      <c r="H21" s="7" t="n">
        <v>0</v>
      </c>
      <c r="I21" s="11" t="n">
        <v>0</v>
      </c>
      <c r="J21" s="12">
        <f>IF(H21&gt;0,(H21-I21)/H21*100,0)</f>
        <v/>
      </c>
      <c r="K21" s="7" t="n">
        <v>5</v>
      </c>
      <c r="L21" s="11">
        <f>ROUND(K21*'AI Assumptions'!B14,0)</f>
        <v/>
      </c>
      <c r="M21" s="12">
        <f>IF(K21&gt;0,(K21-L21)/K21*100,0)</f>
        <v/>
      </c>
      <c r="N21" s="13" t="inlineStr">
        <is>
          <t>AWS Native LZ: Basic cluster template; manual capacity validation</t>
        </is>
      </c>
      <c r="O21" s="14" t="inlineStr">
        <is>
          <t>Landing Zone Design</t>
        </is>
      </c>
      <c r="P21" s="14" t="inlineStr">
        <is>
          <t>PG&amp;E provides infra; EIT validates config</t>
        </is>
      </c>
    </row>
    <row r="22">
      <c r="A22" s="5" t="n"/>
      <c r="B22" s="5" t="inlineStr">
        <is>
          <t>App-Level IaC Generation</t>
        </is>
      </c>
      <c r="C22" s="5" t="inlineStr">
        <is>
          <t>CIS CLD + EIT</t>
        </is>
      </c>
      <c r="D22" s="5" t="inlineStr">
        <is>
          <t>Generate app-level Terraform (SG, LB, DNS)</t>
        </is>
      </c>
      <c r="E22" s="7" t="n">
        <v>10</v>
      </c>
      <c r="F22" s="11">
        <f>ROUND(E22*'AI Assumptions'!B15,0)</f>
        <v/>
      </c>
      <c r="G22" s="12">
        <f>IF(E22&gt;0,(E22-F22)/E22*100,0)</f>
        <v/>
      </c>
      <c r="H22" s="7" t="n">
        <v>10</v>
      </c>
      <c r="I22" s="11">
        <f>ROUND(H22*'AI Assumptions'!B15,0)</f>
        <v/>
      </c>
      <c r="J22" s="12">
        <f>IF(H22&gt;0,(H22-I22)/H22*100,0)</f>
        <v/>
      </c>
      <c r="K22" s="7" t="n">
        <v>12</v>
      </c>
      <c r="L22" s="11">
        <f>ROUND(K22*'AI Assumptions'!B15,0)</f>
        <v/>
      </c>
      <c r="M22" s="12">
        <f>IF(K22&gt;0,(K22-L22)/K22*100,0)</f>
        <v/>
      </c>
      <c r="N22" s="13" t="inlineStr">
        <is>
          <t>AWS Native IaC: Terraform template generation; manual customization still significant</t>
        </is>
      </c>
      <c r="O22" s="14" t="inlineStr">
        <is>
          <t>Terraform/IaC Generation</t>
        </is>
      </c>
      <c r="P22" s="14" t="inlineStr">
        <is>
          <t>App-level only; foundational IaC by PG&amp;E</t>
        </is>
      </c>
    </row>
    <row r="23">
      <c r="A23" s="5" t="n"/>
      <c r="B23" s="5" t="inlineStr">
        <is>
          <t>DB Migration Planning (DMS/DMA)</t>
        </is>
      </c>
      <c r="C23" s="5" t="inlineStr">
        <is>
          <t>CIS CLD</t>
        </is>
      </c>
      <c r="D23" s="5" t="inlineStr">
        <is>
          <t>Schema conversion, CDC strategy</t>
        </is>
      </c>
      <c r="E23" s="7" t="n">
        <v>10</v>
      </c>
      <c r="F23" s="11">
        <f>ROUND(E23*'AI Assumptions'!B8,0)</f>
        <v/>
      </c>
      <c r="G23" s="12">
        <f>IF(E23&gt;0,(E23-F23)/E23*100,0)</f>
        <v/>
      </c>
      <c r="H23" s="7" t="n">
        <v>10</v>
      </c>
      <c r="I23" s="11">
        <f>ROUND(H23*'AI Assumptions'!B8,0)</f>
        <v/>
      </c>
      <c r="J23" s="12">
        <f>IF(H23&gt;0,(H23-I23)/H23*100,0)</f>
        <v/>
      </c>
      <c r="K23" s="7" t="n">
        <v>12</v>
      </c>
      <c r="L23" s="11">
        <f>ROUND(K23*'AI Assumptions'!B8,0)</f>
        <v/>
      </c>
      <c r="M23" s="12">
        <f>IF(K23&gt;0,(K23-L23)/K23*100,0)</f>
        <v/>
      </c>
      <c r="N23" s="13" t="inlineStr">
        <is>
          <t>AWS Native DB: DMS task design wrapping SCT; manual CDC strategy</t>
        </is>
      </c>
      <c r="O23" s="14" t="inlineStr">
        <is>
          <t>Database Analysis</t>
        </is>
      </c>
      <c r="P23" s="14" t="inlineStr">
        <is>
          <t>DMS task planning per DB target</t>
        </is>
      </c>
    </row>
    <row r="24">
      <c r="A24" s="5" t="n"/>
      <c r="B24" s="5" t="inlineStr">
        <is>
          <t>Containerization Architecture</t>
        </is>
      </c>
      <c r="C24" s="5" t="inlineStr">
        <is>
          <t>ADM</t>
        </is>
      </c>
      <c r="D24" s="5" t="inlineStr">
        <is>
          <t>Docker/K8s design for 159 apps</t>
        </is>
      </c>
      <c r="E24" s="7" t="n">
        <v>15</v>
      </c>
      <c r="F24" s="11">
        <f>ROUND(E24*'AI Assumptions'!B16,0)</f>
        <v/>
      </c>
      <c r="G24" s="12">
        <f>IF(E24&gt;0,(E24-F24)/E24*100,0)</f>
        <v/>
      </c>
      <c r="H24" s="7" t="n">
        <v>15</v>
      </c>
      <c r="I24" s="11">
        <f>ROUND(H24*'AI Assumptions'!B16,0)</f>
        <v/>
      </c>
      <c r="J24" s="12">
        <f>IF(H24&gt;0,(H24-I24)/H24*100,0)</f>
        <v/>
      </c>
      <c r="K24" s="7" t="n">
        <v>15</v>
      </c>
      <c r="L24" s="11">
        <f>ROUND(K24*'AI Assumptions'!B16,0)</f>
        <v/>
      </c>
      <c r="M24" s="12">
        <f>IF(K24&gt;0,(K24-L24)/K24*100,0)</f>
        <v/>
      </c>
      <c r="N24" s="13" t="inlineStr">
        <is>
          <t>AWS Native: Limited containerization — basic Dockerfile templates, no AI source analysis</t>
        </is>
      </c>
      <c r="O24" s="14" t="inlineStr">
        <is>
          <t>Container Artifact Gen</t>
        </is>
      </c>
      <c r="P24" s="14" t="inlineStr">
        <is>
          <t>159 containerize apps, arch design</t>
        </is>
      </c>
    </row>
    <row r="25">
      <c r="A25" s="5" t="n"/>
      <c r="B25" s="5" t="inlineStr">
        <is>
          <t>Rollback &amp; DR Strategy</t>
        </is>
      </c>
      <c r="C25" s="5" t="inlineStr">
        <is>
          <t>CIS CLD</t>
        </is>
      </c>
      <c r="D25" s="5" t="inlineStr">
        <is>
          <t>Rollback procedures per wave, DR plan</t>
        </is>
      </c>
      <c r="E25" s="7" t="n">
        <v>8</v>
      </c>
      <c r="F25" s="11">
        <f>ROUND(E25*'AI Assumptions'!B10,0)</f>
        <v/>
      </c>
      <c r="G25" s="12">
        <f>IF(E25&gt;0,(E25-F25)/E25*100,0)</f>
        <v/>
      </c>
      <c r="H25" s="7" t="n">
        <v>8</v>
      </c>
      <c r="I25" s="11">
        <f>ROUND(H25*'AI Assumptions'!B10,0)</f>
        <v/>
      </c>
      <c r="J25" s="12">
        <f>IF(H25&gt;0,(H25-I25)/H25*100,0)</f>
        <v/>
      </c>
      <c r="K25" s="7" t="n">
        <v>8</v>
      </c>
      <c r="L25" s="11">
        <f>ROUND(K25*'AI Assumptions'!B10,0)</f>
        <v/>
      </c>
      <c r="M25" s="12">
        <f>IF(K25&gt;0,(K25-L25)/K25*100,0)</f>
        <v/>
      </c>
      <c r="N25" s="13" t="inlineStr">
        <is>
          <t>AWS Native Rollback: Workflow-based rollback; manual DR checklist</t>
        </is>
      </c>
      <c r="O25" s="14" t="inlineStr">
        <is>
          <t>Compliance &amp; Security</t>
        </is>
      </c>
      <c r="P25" s="14" t="inlineStr">
        <is>
          <t>Template-based + manual review</t>
        </is>
      </c>
    </row>
    <row r="26">
      <c r="A26" s="5" t="n"/>
      <c r="B26" s="5" t="inlineStr">
        <is>
          <t>Business Impact Assessment</t>
        </is>
      </c>
      <c r="C26" s="5" t="inlineStr">
        <is>
          <t>CIS CLD</t>
        </is>
      </c>
      <c r="D26" s="5" t="inlineStr">
        <is>
          <t>Downtime cost per app tier</t>
        </is>
      </c>
      <c r="E26" s="7" t="n">
        <v>5</v>
      </c>
      <c r="F26" s="11">
        <f>ROUND(E26*'AI Assumptions'!B12,0)</f>
        <v/>
      </c>
      <c r="G26" s="12">
        <f>IF(E26&gt;0,(E26-F26)/E26*100,0)</f>
        <v/>
      </c>
      <c r="H26" s="7" t="n">
        <v>5</v>
      </c>
      <c r="I26" s="11">
        <f>ROUND(H26*'AI Assumptions'!B12,0)</f>
        <v/>
      </c>
      <c r="J26" s="12">
        <f>IF(H26&gt;0,(H26-I26)/H26*100,0)</f>
        <v/>
      </c>
      <c r="K26" s="7" t="n">
        <v>5</v>
      </c>
      <c r="L26" s="11">
        <f>ROUND(K26*'AI Assumptions'!B12,0)</f>
        <v/>
      </c>
      <c r="M26" s="12">
        <f>IF(K26&gt;0,(K26-L26)/K26*100,0)</f>
        <v/>
      </c>
      <c r="N26" s="13" t="inlineStr">
        <is>
          <t>AWS Native Cost: Basic downtime estimate; manual impact assessment</t>
        </is>
      </c>
      <c r="O26" s="14" t="inlineStr">
        <is>
          <t>TCO / Cost Modeling</t>
        </is>
      </c>
      <c r="P26" s="14" t="inlineStr">
        <is>
          <t>AI computes from app metadata</t>
        </is>
      </c>
    </row>
    <row r="27">
      <c r="A27" s="10" t="inlineStr">
        <is>
          <t>Phase 3: Build &amp; Prepare</t>
        </is>
      </c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7" t="n"/>
    </row>
    <row r="28">
      <c r="A28" s="5" t="n"/>
      <c r="B28" s="5" t="inlineStr">
        <is>
          <t>App-Level Provisioning - AWS</t>
        </is>
      </c>
      <c r="C28" s="5" t="inlineStr">
        <is>
          <t>CIS CLD</t>
        </is>
      </c>
      <c r="D28" s="5" t="inlineStr">
        <is>
          <t>Deploy app SGs, target groups, DNS in PG&amp;E LZ</t>
        </is>
      </c>
      <c r="E28" s="7" t="n">
        <v>5</v>
      </c>
      <c r="F28" s="11">
        <f>ROUND(E28*'AI Assumptions'!B15,0)</f>
        <v/>
      </c>
      <c r="G28" s="12">
        <f>IF(E28&gt;0,(E28-F28)/E28*100,0)</f>
        <v/>
      </c>
      <c r="H28" s="7" t="n">
        <v>0</v>
      </c>
      <c r="I28" s="11" t="n">
        <v>0</v>
      </c>
      <c r="J28" s="12">
        <f>IF(H28&gt;0,(H28-I28)/H28*100,0)</f>
        <v/>
      </c>
      <c r="K28" s="7" t="n">
        <v>0</v>
      </c>
      <c r="L28" s="11" t="n">
        <v>0</v>
      </c>
      <c r="M28" s="12">
        <f>IF(K28&gt;0,(K28-L28)/K28*100,0)</f>
        <v/>
      </c>
      <c r="N28" s="13" t="inlineStr">
        <is>
          <t>AWS Native Executor: Terraform apply orchestration; manual for complex configs</t>
        </is>
      </c>
      <c r="O28" s="14" t="inlineStr">
        <is>
          <t>Terraform/IaC Generation</t>
        </is>
      </c>
      <c r="P28" s="14" t="inlineStr">
        <is>
          <t>PG&amp;E LZ ready; app-level config only</t>
        </is>
      </c>
    </row>
    <row r="29">
      <c r="A29" s="5" t="n"/>
      <c r="B29" s="5" t="inlineStr">
        <is>
          <t>App-Level Provisioning - Azure</t>
        </is>
      </c>
      <c r="C29" s="5" t="inlineStr">
        <is>
          <t>CIS CLD</t>
        </is>
      </c>
      <c r="D29" s="5" t="inlineStr">
        <is>
          <t>Deploy app NSGs, LB rules, DNS in PG&amp;E LZ</t>
        </is>
      </c>
      <c r="E29" s="7" t="n">
        <v>0</v>
      </c>
      <c r="F29" s="11" t="n">
        <v>0</v>
      </c>
      <c r="G29" s="12">
        <f>IF(E29&gt;0,(E29-F29)/E29*100,0)</f>
        <v/>
      </c>
      <c r="H29" s="7" t="n">
        <v>5</v>
      </c>
      <c r="I29" s="11">
        <f>ROUND(H29*'AI Assumptions'!B15,0)</f>
        <v/>
      </c>
      <c r="J29" s="12">
        <f>IF(H29&gt;0,(H29-I29)/H29*100,0)</f>
        <v/>
      </c>
      <c r="K29" s="7" t="n">
        <v>0</v>
      </c>
      <c r="L29" s="11" t="n">
        <v>0</v>
      </c>
      <c r="M29" s="12">
        <f>IF(K29&gt;0,(K29-L29)/K29*100,0)</f>
        <v/>
      </c>
      <c r="N29" s="13" t="inlineStr">
        <is>
          <t>AWS Native Executor: Terraform apply orchestration; manual for complex configs</t>
        </is>
      </c>
      <c r="O29" s="14" t="inlineStr">
        <is>
          <t>Terraform/IaC Generation</t>
        </is>
      </c>
      <c r="P29" s="14" t="inlineStr">
        <is>
          <t>PG&amp;E LZ ready; app-level config only</t>
        </is>
      </c>
    </row>
    <row r="30">
      <c r="A30" s="5" t="n"/>
      <c r="B30" s="5" t="inlineStr">
        <is>
          <t>Workload Onboarding - AzLocal/HV</t>
        </is>
      </c>
      <c r="C30" s="5" t="inlineStr">
        <is>
          <t>CIS EIT</t>
        </is>
      </c>
      <c r="D30" s="5" t="inlineStr">
        <is>
          <t>Onboard workloads to PG&amp;E-built clusters</t>
        </is>
      </c>
      <c r="E30" s="7" t="n">
        <v>0</v>
      </c>
      <c r="F30" s="11" t="n">
        <v>0</v>
      </c>
      <c r="G30" s="12">
        <f>IF(E30&gt;0,(E30-F30)/E30*100,0)</f>
        <v/>
      </c>
      <c r="H30" s="7" t="n">
        <v>0</v>
      </c>
      <c r="I30" s="11" t="n">
        <v>0</v>
      </c>
      <c r="J30" s="12">
        <f>IF(H30&gt;0,(H30-I30)/H30*100,0)</f>
        <v/>
      </c>
      <c r="K30" s="7" t="n">
        <v>10</v>
      </c>
      <c r="L30" s="11">
        <f>ROUND(K30*'AI Assumptions'!B18,0)</f>
        <v/>
      </c>
      <c r="M30" s="12">
        <f>IF(K30&gt;0,(K30-L30)/K30*100,0)</f>
        <v/>
      </c>
      <c r="N30" s="13" t="inlineStr">
        <is>
          <t>AWS Native Executor: Basic migration orchestration; manual placement optimization</t>
        </is>
      </c>
      <c r="O30" s="14" t="inlineStr">
        <is>
          <t>Middleware Migration</t>
        </is>
      </c>
      <c r="P30" s="14" t="inlineStr">
        <is>
          <t>PG&amp;E provides infra; EIT onboards apps</t>
        </is>
      </c>
    </row>
    <row r="31">
      <c r="A31" s="5" t="n"/>
      <c r="B31" s="5" t="inlineStr">
        <is>
          <t>Container Artifact Gen (159 apps)</t>
        </is>
      </c>
      <c r="C31" s="5" t="inlineStr">
        <is>
          <t>ADM</t>
        </is>
      </c>
      <c r="D31" s="5" t="inlineStr">
        <is>
          <t>Dockerfiles, K8s manifests, Helm charts</t>
        </is>
      </c>
      <c r="E31" s="7" t="n">
        <v>25</v>
      </c>
      <c r="F31" s="11">
        <f>ROUND(E31*'AI Assumptions'!B16,0)</f>
        <v/>
      </c>
      <c r="G31" s="12">
        <f>IF(E31&gt;0,(E31-F31)/E31*100,0)</f>
        <v/>
      </c>
      <c r="H31" s="7" t="n">
        <v>25</v>
      </c>
      <c r="I31" s="11">
        <f>ROUND(H31*'AI Assumptions'!B16,0)</f>
        <v/>
      </c>
      <c r="J31" s="12">
        <f>IF(H31&gt;0,(H31-I31)/H31*100,0)</f>
        <v/>
      </c>
      <c r="K31" s="7" t="n">
        <v>25</v>
      </c>
      <c r="L31" s="11">
        <f>ROUND(K31*'AI Assumptions'!B16,0)</f>
        <v/>
      </c>
      <c r="M31" s="12">
        <f>IF(K31&gt;0,(K31-L31)/K31*100,0)</f>
        <v/>
      </c>
      <c r="N31" s="13" t="inlineStr">
        <is>
          <t>AWS Native: Basic Dockerfile templates; no AI source-code analysis</t>
        </is>
      </c>
      <c r="O31" s="14" t="inlineStr">
        <is>
          <t>Container Artifact Gen</t>
        </is>
      </c>
      <c r="P31" s="14" t="inlineStr">
        <is>
          <t>159 apps x AI source analysis</t>
        </is>
      </c>
    </row>
    <row r="32">
      <c r="A32" s="5" t="n"/>
      <c r="B32" s="5" t="inlineStr">
        <is>
          <t>Framework Upgrades (.Net/Java)</t>
        </is>
      </c>
      <c r="C32" s="5" t="inlineStr">
        <is>
          <t>ADM</t>
        </is>
      </c>
      <c r="D32" s="5" t="inlineStr">
        <is>
          <t>.Net/Java upgrades for containerization</t>
        </is>
      </c>
      <c r="E32" s="7" t="n">
        <v>20</v>
      </c>
      <c r="F32" s="11">
        <f>ROUND(E32*'AI Assumptions'!B17,0)</f>
        <v/>
      </c>
      <c r="G32" s="12">
        <f>IF(E32&gt;0,(E32-F32)/E32*100,0)</f>
        <v/>
      </c>
      <c r="H32" s="7" t="n">
        <v>20</v>
      </c>
      <c r="I32" s="11">
        <f>ROUND(H32*'AI Assumptions'!B17,0)</f>
        <v/>
      </c>
      <c r="J32" s="12">
        <f>IF(H32&gt;0,(H32-I32)/H32*100,0)</f>
        <v/>
      </c>
      <c r="K32" s="7" t="n">
        <v>20</v>
      </c>
      <c r="L32" s="11">
        <f>ROUND(K32*'AI Assumptions'!B17,0)</f>
        <v/>
      </c>
      <c r="M32" s="12">
        <f>IF(K32&gt;0,(K32-L32)/K32*100,0)</f>
        <v/>
      </c>
      <c r="N32" s="13" t="inlineStr">
        <is>
          <t>Not AWS Native scope: IDE + Copilot for code modernization</t>
        </is>
      </c>
      <c r="O32" s="14" t="inlineStr">
        <is>
          <t>Framework Upgrades</t>
        </is>
      </c>
      <c r="P32" s="14" t="inlineStr">
        <is>
          <t>Semi-auto, 40% residual manual</t>
        </is>
      </c>
    </row>
    <row r="33">
      <c r="A33" s="5" t="n"/>
      <c r="B33" s="5" t="inlineStr">
        <is>
          <t>Middleware Upgrades &amp; Jobs</t>
        </is>
      </c>
      <c r="C33" s="5" t="inlineStr">
        <is>
          <t>ADM</t>
        </is>
      </c>
      <c r="D33" s="5" t="inlineStr">
        <is>
          <t>Middleware versions, batch job migration</t>
        </is>
      </c>
      <c r="E33" s="7" t="n">
        <v>15</v>
      </c>
      <c r="F33" s="11">
        <f>ROUND(E33*'AI Assumptions'!B18,0)</f>
        <v/>
      </c>
      <c r="G33" s="12">
        <f>IF(E33&gt;0,(E33-F33)/E33*100,0)</f>
        <v/>
      </c>
      <c r="H33" s="7" t="n">
        <v>15</v>
      </c>
      <c r="I33" s="11">
        <f>ROUND(H33*'AI Assumptions'!B18,0)</f>
        <v/>
      </c>
      <c r="J33" s="12">
        <f>IF(H33&gt;0,(H33-I33)/H33*100,0)</f>
        <v/>
      </c>
      <c r="K33" s="7" t="n">
        <v>15</v>
      </c>
      <c r="L33" s="11">
        <f>ROUND(K33*'AI Assumptions'!B18,0)</f>
        <v/>
      </c>
      <c r="M33" s="12">
        <f>IF(K33&gt;0,(K33-L33)/K33*100,0)</f>
        <v/>
      </c>
      <c r="N33" s="13" t="inlineStr">
        <is>
          <t>AWS Native: Basic config export; manual for custom plugins and job scheduling</t>
        </is>
      </c>
      <c r="O33" s="14" t="inlineStr">
        <is>
          <t>Middleware Migration</t>
        </is>
      </c>
      <c r="P33" s="14" t="inlineStr">
        <is>
          <t>Config extraction + manual verification</t>
        </is>
      </c>
    </row>
    <row r="34">
      <c r="A34" s="5" t="n"/>
      <c r="B34" s="5" t="inlineStr">
        <is>
          <t>DB Schema Conversion</t>
        </is>
      </c>
      <c r="C34" s="5" t="inlineStr">
        <is>
          <t>CIS CLD</t>
        </is>
      </c>
      <c r="D34" s="5" t="inlineStr">
        <is>
          <t>Convert stored procs, triggers, functions</t>
        </is>
      </c>
      <c r="E34" s="7" t="n">
        <v>20</v>
      </c>
      <c r="F34" s="11">
        <f>ROUND(E34*'AI Assumptions'!B19,0)</f>
        <v/>
      </c>
      <c r="G34" s="12">
        <f>IF(E34&gt;0,(E34-F34)/E34*100,0)</f>
        <v/>
      </c>
      <c r="H34" s="7" t="n">
        <v>20</v>
      </c>
      <c r="I34" s="11">
        <f>ROUND(H34*'AI Assumptions'!B19,0)</f>
        <v/>
      </c>
      <c r="J34" s="12">
        <f>IF(H34&gt;0,(H34-I34)/H34*100,0)</f>
        <v/>
      </c>
      <c r="K34" s="7" t="n">
        <v>22</v>
      </c>
      <c r="L34" s="11">
        <f>ROUND(K34*'AI Assumptions'!B19,0)</f>
        <v/>
      </c>
      <c r="M34" s="12">
        <f>IF(K34&gt;0,(K34-L34)/K34*100,0)</f>
        <v/>
      </c>
      <c r="N34" s="13" t="inlineStr">
        <is>
          <t>AWS Native DB: SCT auto-conversion only; no AI-assisted fix layer</t>
        </is>
      </c>
      <c r="O34" s="14" t="inlineStr">
        <is>
          <t>Schema Conversion</t>
        </is>
      </c>
      <c r="P34" s="14" t="inlineStr">
        <is>
          <t>SCT auto-converts 80%, AI fixes rest</t>
        </is>
      </c>
    </row>
    <row r="35">
      <c r="A35" s="5" t="n"/>
      <c r="B35" s="5" t="inlineStr">
        <is>
          <t>Migration Rehearsal (Dry Run)</t>
        </is>
      </c>
      <c r="C35" s="5" t="inlineStr">
        <is>
          <t>CIS CLD + ADM</t>
        </is>
      </c>
      <c r="D35" s="5" t="inlineStr">
        <is>
          <t>Full rehearsal per wave in non-prod</t>
        </is>
      </c>
      <c r="E35" s="7" t="n">
        <v>15</v>
      </c>
      <c r="F35" s="11">
        <f>ROUND(E35*'AI Assumptions'!B20,0)</f>
        <v/>
      </c>
      <c r="G35" s="12">
        <f>IF(E35&gt;0,(E35-F35)/E35*100,0)</f>
        <v/>
      </c>
      <c r="H35" s="7" t="n">
        <v>15</v>
      </c>
      <c r="I35" s="11">
        <f>ROUND(H35*'AI Assumptions'!B20,0)</f>
        <v/>
      </c>
      <c r="J35" s="12">
        <f>IF(H35&gt;0,(H35-I35)/H35*100,0)</f>
        <v/>
      </c>
      <c r="K35" s="7" t="n">
        <v>18</v>
      </c>
      <c r="L35" s="11">
        <f>ROUND(K35*'AI Assumptions'!B20,0)</f>
        <v/>
      </c>
      <c r="M35" s="12">
        <f>IF(K35&gt;0,(K35-L35)/K35*100,0)</f>
        <v/>
      </c>
      <c r="N35" s="13" t="inlineStr">
        <is>
          <t>AWS Native Workflow: Orchestrated rehearsal; manual outcome validation via checklist</t>
        </is>
      </c>
      <c r="O35" s="14" t="inlineStr">
        <is>
          <t>Rehearsal / Dry Run</t>
        </is>
      </c>
      <c r="P35" s="14" t="inlineStr">
        <is>
          <t>AI orchestrates + validates outcomes</t>
        </is>
      </c>
    </row>
    <row r="36">
      <c r="A36" s="5" t="n"/>
      <c r="B36" s="5" t="inlineStr">
        <is>
          <t>Integration Testing</t>
        </is>
      </c>
      <c r="C36" s="5" t="inlineStr">
        <is>
          <t>IQE</t>
        </is>
      </c>
      <c r="D36" s="5" t="inlineStr">
        <is>
          <t>Validate connectivity, APIs, data integrity</t>
        </is>
      </c>
      <c r="E36" s="7" t="n">
        <v>15</v>
      </c>
      <c r="F36" s="11">
        <f>ROUND(E36*'AI Assumptions'!B25,0)</f>
        <v/>
      </c>
      <c r="G36" s="12">
        <f>IF(E36&gt;0,(E36-F36)/E36*100,0)</f>
        <v/>
      </c>
      <c r="H36" s="7" t="n">
        <v>15</v>
      </c>
      <c r="I36" s="11">
        <f>ROUND(H36*'AI Assumptions'!B25,0)</f>
        <v/>
      </c>
      <c r="J36" s="12">
        <f>IF(H36&gt;0,(H36-I36)/H36*100,0)</f>
        <v/>
      </c>
      <c r="K36" s="7" t="n">
        <v>18</v>
      </c>
      <c r="L36" s="11">
        <f>ROUND(K36*'AI Assumptions'!B25,0)</f>
        <v/>
      </c>
      <c r="M36" s="12">
        <f>IF(K36&gt;0,(K36-L36)/K36*100,0)</f>
        <v/>
      </c>
      <c r="N36" s="13" t="inlineStr">
        <is>
          <t>Not AWS Native scope: Manual integration testing with standard frameworks</t>
        </is>
      </c>
      <c r="O36" s="14" t="inlineStr">
        <is>
          <t>NFR Testing (30%)</t>
        </is>
      </c>
      <c r="P36" s="14" t="inlineStr">
        <is>
          <t>IQE functional validation post-rehearsal</t>
        </is>
      </c>
    </row>
    <row r="37">
      <c r="A37" s="5" t="n"/>
      <c r="B37" s="5" t="inlineStr">
        <is>
          <t>Security Validation</t>
        </is>
      </c>
      <c r="C37" s="5" t="inlineStr">
        <is>
          <t>CyberSec</t>
        </is>
      </c>
      <c r="D37" s="5" t="inlineStr">
        <is>
          <t>Vulnerability scans, compliance per wave</t>
        </is>
      </c>
      <c r="E37" s="7" t="n">
        <v>8</v>
      </c>
      <c r="F37" s="11">
        <f>ROUND(E37*'AI Assumptions'!B10,0)</f>
        <v/>
      </c>
      <c r="G37" s="12">
        <f>IF(E37&gt;0,(E37-F37)/E37*100,0)</f>
        <v/>
      </c>
      <c r="H37" s="7" t="n">
        <v>8</v>
      </c>
      <c r="I37" s="11">
        <f>ROUND(H37*'AI Assumptions'!B10,0)</f>
        <v/>
      </c>
      <c r="J37" s="12">
        <f>IF(H37&gt;0,(H37-I37)/H37*100,0)</f>
        <v/>
      </c>
      <c r="K37" s="7" t="n">
        <v>10</v>
      </c>
      <c r="L37" s="11">
        <f>ROUND(K37*'AI Assumptions'!B10,0)</f>
        <v/>
      </c>
      <c r="M37" s="12">
        <f>IF(K37&gt;0,(K37-L37)/K37*100,0)</f>
        <v/>
      </c>
      <c r="N37" s="13" t="inlineStr">
        <is>
          <t>AWS Native: Basic compliance check; manual security validation</t>
        </is>
      </c>
      <c r="O37" s="14" t="inlineStr">
        <is>
          <t>Compliance &amp; Security</t>
        </is>
      </c>
      <c r="P37" s="14" t="inlineStr">
        <is>
          <t>PG&amp;E NERC CIP requirements</t>
        </is>
      </c>
    </row>
    <row r="38">
      <c r="A38" s="5" t="n"/>
      <c r="B38" s="5" t="inlineStr">
        <is>
          <t>Pre-Migration Patch Execution</t>
        </is>
      </c>
      <c r="C38" s="5" t="inlineStr">
        <is>
          <t>CyberSec</t>
        </is>
      </c>
      <c r="D38" s="5" t="inlineStr">
        <is>
          <t>Patch critical/high CVEs on source before cutover</t>
        </is>
      </c>
      <c r="E38" s="7" t="n">
        <v>12</v>
      </c>
      <c r="F38" s="11">
        <f>ROUND(E38*'AI Assumptions'!B30,0)</f>
        <v/>
      </c>
      <c r="G38" s="12">
        <f>IF(E38&gt;0,(E38-F38)/E38*100,0)</f>
        <v/>
      </c>
      <c r="H38" s="7" t="n">
        <v>12</v>
      </c>
      <c r="I38" s="11">
        <f>ROUND(H38*'AI Assumptions'!B30,0)</f>
        <v/>
      </c>
      <c r="J38" s="12">
        <f>IF(H38&gt;0,(H38-I38)/H38*100,0)</f>
        <v/>
      </c>
      <c r="K38" s="7" t="n">
        <v>15</v>
      </c>
      <c r="L38" s="11">
        <f>ROUND(K38*'AI Assumptions'!B30,0)</f>
        <v/>
      </c>
      <c r="M38" s="12">
        <f>IF(K38&gt;0,(K38-L38)/K38*100,0)</f>
        <v/>
      </c>
      <c r="N38" s="13" t="inlineStr">
        <is>
          <t>Not AWS Native scope: Separate SSM/Ansible; manual NERC CIP evidence</t>
        </is>
      </c>
      <c r="O38" s="14" t="inlineStr">
        <is>
          <t>Vuln Patch Execution</t>
        </is>
      </c>
      <c r="P38" s="14" t="inlineStr">
        <is>
          <t>Must-fix before migration per PG&amp;E policy</t>
        </is>
      </c>
    </row>
    <row r="39">
      <c r="A39" s="10" t="inlineStr">
        <is>
          <t>Phase 4: Migration Execution</t>
        </is>
      </c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7" t="n"/>
    </row>
    <row r="40">
      <c r="A40" s="5" t="n"/>
      <c r="B40" s="5" t="inlineStr">
        <is>
          <t>Wave 1: Pilot (10-15 apps)</t>
        </is>
      </c>
      <c r="C40" s="5" t="inlineStr">
        <is>
          <t>CIS CLD</t>
        </is>
      </c>
      <c r="D40" s="5" t="inlineStr">
        <is>
          <t>Pilot batch across all platforms</t>
        </is>
      </c>
      <c r="E40" s="7" t="n">
        <v>8</v>
      </c>
      <c r="F40" s="11">
        <f>ROUND(E40*'AI Assumptions'!B21,0)</f>
        <v/>
      </c>
      <c r="G40" s="12">
        <f>IF(E40&gt;0,(E40-F40)/E40*100,0)</f>
        <v/>
      </c>
      <c r="H40" s="7" t="n">
        <v>8</v>
      </c>
      <c r="I40" s="11">
        <f>ROUND(H40*'AI Assumptions'!B21,0)</f>
        <v/>
      </c>
      <c r="J40" s="12">
        <f>IF(H40&gt;0,(H40-I40)/H40*100,0)</f>
        <v/>
      </c>
      <c r="K40" s="7" t="n">
        <v>10</v>
      </c>
      <c r="L40" s="11">
        <f>ROUND(K40*'AI Assumptions'!B21,0)</f>
        <v/>
      </c>
      <c r="M40" s="12">
        <f>IF(K40&gt;0,(K40-L40)/K40*100,0)</f>
        <v/>
      </c>
      <c r="N40" s="13" t="inlineStr">
        <is>
          <t>AWS Native Execution: Workflow-based pilot; good orchestration, manual validation</t>
        </is>
      </c>
      <c r="O40" s="14" t="inlineStr">
        <is>
          <t>Rehost Execution</t>
        </is>
      </c>
      <c r="P40" s="14" t="inlineStr">
        <is>
          <t>Validate patterns before scale</t>
        </is>
      </c>
    </row>
    <row r="41">
      <c r="A41" s="5" t="n"/>
      <c r="B41" s="5" t="inlineStr">
        <is>
          <t>Rehost / Lift-and-Shift (179 apps)</t>
        </is>
      </c>
      <c r="C41" s="5" t="inlineStr">
        <is>
          <t>CIS CLD + EIT</t>
        </is>
      </c>
      <c r="D41" s="5" t="inlineStr">
        <is>
          <t>V-&gt;V, P-&gt;V, HyperVisor-Replace</t>
        </is>
      </c>
      <c r="E41" s="7" t="n">
        <v>40</v>
      </c>
      <c r="F41" s="11">
        <f>ROUND(E41*'AI Assumptions'!B21,0)</f>
        <v/>
      </c>
      <c r="G41" s="12">
        <f>IF(E41&gt;0,(E41-F41)/E41*100,0)</f>
        <v/>
      </c>
      <c r="H41" s="7" t="n">
        <v>45</v>
      </c>
      <c r="I41" s="11">
        <f>ROUND(H41*'AI Assumptions'!B21,0)</f>
        <v/>
      </c>
      <c r="J41" s="12">
        <f>IF(H41&gt;0,(H41-I41)/H41*100,0)</f>
        <v/>
      </c>
      <c r="K41" s="7" t="n">
        <v>50</v>
      </c>
      <c r="L41" s="11">
        <f>ROUND(K41*'AI Assumptions'!B21,0)</f>
        <v/>
      </c>
      <c r="M41" s="12">
        <f>IF(K41&gt;0,(K41-L41)/K41*100,0)</f>
        <v/>
      </c>
      <c r="N41" s="13" t="inlineStr">
        <is>
          <t>AWS Native Rehost: Strong MGN/ASR orchestration + cutover — AWS Native core strength</t>
        </is>
      </c>
      <c r="O41" s="14" t="inlineStr">
        <is>
          <t>Rehost Execution</t>
        </is>
      </c>
      <c r="P41" s="14" t="inlineStr">
        <is>
          <t>179 apps x 0.5d = ~90 total, split by platform</t>
        </is>
      </c>
    </row>
    <row r="42">
      <c r="A42" s="5" t="n"/>
      <c r="B42" s="5" t="inlineStr">
        <is>
          <t>Replatform (OS/DB Upgrade)</t>
        </is>
      </c>
      <c r="C42" s="5" t="inlineStr">
        <is>
          <t>CIS CLD</t>
        </is>
      </c>
      <c r="D42" s="5" t="inlineStr">
        <is>
          <t>OS upgrades, DB upgrades during migration</t>
        </is>
      </c>
      <c r="E42" s="7" t="n">
        <v>25</v>
      </c>
      <c r="F42" s="11">
        <f>ROUND(E42*'AI Assumptions'!B22,0)</f>
        <v/>
      </c>
      <c r="G42" s="12">
        <f>IF(E42&gt;0,(E42-F42)/E42*100,0)</f>
        <v/>
      </c>
      <c r="H42" s="7" t="n">
        <v>25</v>
      </c>
      <c r="I42" s="11">
        <f>ROUND(H42*'AI Assumptions'!B22,0)</f>
        <v/>
      </c>
      <c r="J42" s="12">
        <f>IF(H42&gt;0,(H42-I42)/H42*100,0)</f>
        <v/>
      </c>
      <c r="K42" s="7" t="n">
        <v>28</v>
      </c>
      <c r="L42" s="11">
        <f>ROUND(K42*'AI Assumptions'!B22,0)</f>
        <v/>
      </c>
      <c r="M42" s="12">
        <f>IF(K42&gt;0,(K42-L42)/K42*100,0)</f>
        <v/>
      </c>
      <c r="N42" s="13" t="inlineStr">
        <is>
          <t>AWS Native Replatform: Scripted upgrades; manual pre/post validation</t>
        </is>
      </c>
      <c r="O42" s="14" t="inlineStr">
        <is>
          <t>Replatform Execution</t>
        </is>
      </c>
      <c r="P42" s="14" t="inlineStr">
        <is>
          <t>CIS CLD-led, scripted upgrades</t>
        </is>
      </c>
    </row>
    <row r="43">
      <c r="A43" s="5" t="n"/>
      <c r="B43" s="5" t="inlineStr">
        <is>
          <t>Containerize Execution (159 apps)</t>
        </is>
      </c>
      <c r="C43" s="5" t="inlineStr">
        <is>
          <t>ADM</t>
        </is>
      </c>
      <c r="D43" s="5" t="inlineStr">
        <is>
          <t>Docker build, push, EKS/AKS deploy</t>
        </is>
      </c>
      <c r="E43" s="7" t="n">
        <v>35</v>
      </c>
      <c r="F43" s="11">
        <f>ROUND(E43*'AI Assumptions'!B23,0)</f>
        <v/>
      </c>
      <c r="G43" s="12">
        <f>IF(E43&gt;0,(E43-F43)/E43*100,0)</f>
        <v/>
      </c>
      <c r="H43" s="7" t="n">
        <v>35</v>
      </c>
      <c r="I43" s="11">
        <f>ROUND(H43*'AI Assumptions'!B23,0)</f>
        <v/>
      </c>
      <c r="J43" s="12">
        <f>IF(H43&gt;0,(H43-I43)/H43*100,0)</f>
        <v/>
      </c>
      <c r="K43" s="7" t="n">
        <v>35</v>
      </c>
      <c r="L43" s="11">
        <f>ROUND(K43*'AI Assumptions'!B23,0)</f>
        <v/>
      </c>
      <c r="M43" s="12">
        <f>IF(K43&gt;0,(K43-L43)/K43*100,0)</f>
        <v/>
      </c>
      <c r="N43" s="13" t="inlineStr">
        <is>
          <t>AWS Native: External CI/CD orchestration (Jenkins/GHA); no native container pipeline</t>
        </is>
      </c>
      <c r="O43" s="14" t="inlineStr">
        <is>
          <t>Containerize Execution</t>
        </is>
      </c>
      <c r="P43" s="14" t="inlineStr">
        <is>
          <t>159 apps x 1.2d = ~191 total, split</t>
        </is>
      </c>
    </row>
    <row r="44">
      <c r="A44" s="5" t="n"/>
      <c r="B44" s="5" t="inlineStr">
        <is>
          <t>Framework Replace (5 apps)</t>
        </is>
      </c>
      <c r="C44" s="5" t="inlineStr">
        <is>
          <t>ADM</t>
        </is>
      </c>
      <c r="D44" s="5" t="inlineStr">
        <is>
          <t>.Net/Java framework replacement</t>
        </is>
      </c>
      <c r="E44" s="7" t="n">
        <v>8</v>
      </c>
      <c r="F44" s="11">
        <f>ROUND(E44*'AI Assumptions'!B17,0)</f>
        <v/>
      </c>
      <c r="G44" s="12">
        <f>IF(E44&gt;0,(E44-F44)/E44*100,0)</f>
        <v/>
      </c>
      <c r="H44" s="7" t="n">
        <v>8</v>
      </c>
      <c r="I44" s="11">
        <f>ROUND(H44*'AI Assumptions'!B17,0)</f>
        <v/>
      </c>
      <c r="J44" s="12">
        <f>IF(H44&gt;0,(H44-I44)/H44*100,0)</f>
        <v/>
      </c>
      <c r="K44" s="7" t="n">
        <v>8</v>
      </c>
      <c r="L44" s="11">
        <f>ROUND(K44*'AI Assumptions'!B17,0)</f>
        <v/>
      </c>
      <c r="M44" s="12">
        <f>IF(K44&gt;0,(K44-L44)/K44*100,0)</f>
        <v/>
      </c>
      <c r="N44" s="13" t="inlineStr">
        <is>
          <t>Not AWS Native scope: Standard developer tooling</t>
        </is>
      </c>
      <c r="O44" s="14" t="inlineStr">
        <is>
          <t>Framework Upgrades</t>
        </is>
      </c>
      <c r="P44" s="14" t="inlineStr">
        <is>
          <t>5 apps, high complexity per app</t>
        </is>
      </c>
    </row>
    <row r="45">
      <c r="A45" s="5" t="n"/>
      <c r="B45" s="5" t="inlineStr">
        <is>
          <t>Retire (24 apps)</t>
        </is>
      </c>
      <c r="C45" s="5" t="inlineStr">
        <is>
          <t>CIS CLD</t>
        </is>
      </c>
      <c r="D45" s="5" t="inlineStr">
        <is>
          <t>Decommission retired applications</t>
        </is>
      </c>
      <c r="E45" s="7" t="n">
        <v>5</v>
      </c>
      <c r="F45" s="11">
        <f>ROUND(E45*'AI Assumptions'!B11,0)</f>
        <v/>
      </c>
      <c r="G45" s="12">
        <f>IF(E45&gt;0,(E45-F45)/E45*100,0)</f>
        <v/>
      </c>
      <c r="H45" s="7" t="n">
        <v>5</v>
      </c>
      <c r="I45" s="11">
        <f>ROUND(H45*'AI Assumptions'!B11,0)</f>
        <v/>
      </c>
      <c r="J45" s="12">
        <f>IF(H45&gt;0,(H45-I45)/H45*100,0)</f>
        <v/>
      </c>
      <c r="K45" s="7" t="n">
        <v>5</v>
      </c>
      <c r="L45" s="11">
        <f>ROUND(K45*'AI Assumptions'!B11,0)</f>
        <v/>
      </c>
      <c r="M45" s="12">
        <f>IF(K45&gt;0,(K45-L45)/K45*100,0)</f>
        <v/>
      </c>
      <c r="N45" s="13" t="inlineStr">
        <is>
          <t>AWS Native Decommission: Basic dependency check; manual confirmation</t>
        </is>
      </c>
      <c r="O45" s="14" t="inlineStr">
        <is>
          <t>License Analysis</t>
        </is>
      </c>
      <c r="P45" s="14" t="inlineStr">
        <is>
          <t>Dependency check + decommission</t>
        </is>
      </c>
    </row>
    <row r="46">
      <c r="A46" s="5" t="n"/>
      <c r="B46" s="5" t="inlineStr">
        <is>
          <t>Database Migration (DMS/CDC)</t>
        </is>
      </c>
      <c r="C46" s="5" t="inlineStr">
        <is>
          <t>CIS CLD</t>
        </is>
      </c>
      <c r="D46" s="5" t="inlineStr">
        <is>
          <t>CDC replication and cutover</t>
        </is>
      </c>
      <c r="E46" s="7" t="n">
        <v>20</v>
      </c>
      <c r="F46" s="11">
        <f>ROUND(E46*'AI Assumptions'!B19,0)</f>
        <v/>
      </c>
      <c r="G46" s="12">
        <f>IF(E46&gt;0,(E46-F46)/E46*100,0)</f>
        <v/>
      </c>
      <c r="H46" s="7" t="n">
        <v>20</v>
      </c>
      <c r="I46" s="11">
        <f>ROUND(H46*'AI Assumptions'!B19,0)</f>
        <v/>
      </c>
      <c r="J46" s="12">
        <f>IF(H46&gt;0,(H46-I46)/H46*100,0)</f>
        <v/>
      </c>
      <c r="K46" s="7" t="n">
        <v>22</v>
      </c>
      <c r="L46" s="11">
        <f>ROUND(K46*'AI Assumptions'!B19,0)</f>
        <v/>
      </c>
      <c r="M46" s="12">
        <f>IF(K46&gt;0,(K46-L46)/K46*100,0)</f>
        <v/>
      </c>
      <c r="N46" s="13" t="inlineStr">
        <is>
          <t>AWS Native DB: DMS task orchestration; manual monitoring and cutover</t>
        </is>
      </c>
      <c r="O46" s="14" t="inlineStr">
        <is>
          <t>Schema Conversion</t>
        </is>
      </c>
      <c r="P46" s="14" t="inlineStr">
        <is>
          <t>DMS tasks across all DB targets</t>
        </is>
      </c>
    </row>
    <row r="47">
      <c r="A47" s="5" t="n"/>
      <c r="B47" s="5" t="inlineStr">
        <is>
          <t>DNS Cutover &amp; Traffic Shift</t>
        </is>
      </c>
      <c r="C47" s="5" t="inlineStr">
        <is>
          <t>CIS CLD</t>
        </is>
      </c>
      <c r="D47" s="5" t="inlineStr">
        <is>
          <t>Switch DNS per wave, validate</t>
        </is>
      </c>
      <c r="E47" s="7" t="n">
        <v>5</v>
      </c>
      <c r="F47" s="11">
        <f>ROUND(E47*'AI Assumptions'!B21,0)</f>
        <v/>
      </c>
      <c r="G47" s="12">
        <f>IF(E47&gt;0,(E47-F47)/E47*100,0)</f>
        <v/>
      </c>
      <c r="H47" s="7" t="n">
        <v>5</v>
      </c>
      <c r="I47" s="11">
        <f>ROUND(H47*'AI Assumptions'!B21,0)</f>
        <v/>
      </c>
      <c r="J47" s="12">
        <f>IF(H47&gt;0,(H47-I47)/H47*100,0)</f>
        <v/>
      </c>
      <c r="K47" s="7" t="n">
        <v>5</v>
      </c>
      <c r="L47" s="11">
        <f>ROUND(K47*'AI Assumptions'!B21,0)</f>
        <v/>
      </c>
      <c r="M47" s="12">
        <f>IF(K47&gt;0,(K47-L47)/K47*100,0)</f>
        <v/>
      </c>
      <c r="N47" s="13" t="inlineStr">
        <is>
          <t>AWS Native Workflow: DNS cutover step; manual traffic validation</t>
        </is>
      </c>
      <c r="O47" s="14" t="inlineStr">
        <is>
          <t>Rehost Execution</t>
        </is>
      </c>
      <c r="P47" s="14" t="inlineStr">
        <is>
          <t>Orchestrated cutover</t>
        </is>
      </c>
    </row>
    <row r="48">
      <c r="A48" s="5" t="n"/>
      <c r="B48" s="5" t="inlineStr">
        <is>
          <t>Rollback Execution</t>
        </is>
      </c>
      <c r="C48" s="5" t="inlineStr">
        <is>
          <t>CIS CLD</t>
        </is>
      </c>
      <c r="D48" s="5" t="inlineStr">
        <is>
          <t>Rollback for failed migrations</t>
        </is>
      </c>
      <c r="E48" s="7" t="n">
        <v>5</v>
      </c>
      <c r="F48" s="11">
        <f>ROUND(E48*'AI Assumptions'!B21,0)</f>
        <v/>
      </c>
      <c r="G48" s="12">
        <f>IF(E48&gt;0,(E48-F48)/E48*100,0)</f>
        <v/>
      </c>
      <c r="H48" s="7" t="n">
        <v>5</v>
      </c>
      <c r="I48" s="11">
        <f>ROUND(H48*'AI Assumptions'!B21,0)</f>
        <v/>
      </c>
      <c r="J48" s="12">
        <f>IF(H48&gt;0,(H48-I48)/H48*100,0)</f>
        <v/>
      </c>
      <c r="K48" s="7" t="n">
        <v>5</v>
      </c>
      <c r="L48" s="11">
        <f>ROUND(K48*'AI Assumptions'!B21,0)</f>
        <v/>
      </c>
      <c r="M48" s="12">
        <f>IF(K48&gt;0,(K48-L48)/K48*100,0)</f>
        <v/>
      </c>
      <c r="N48" s="13" t="inlineStr">
        <is>
          <t>AWS Native Rollback: Workflow-triggered rollback; manual state verification</t>
        </is>
      </c>
      <c r="O48" s="14" t="inlineStr">
        <is>
          <t>Rehost Execution</t>
        </is>
      </c>
      <c r="P48" s="14" t="inlineStr">
        <is>
          <t>Pre-built rollback scripts</t>
        </is>
      </c>
    </row>
    <row r="49">
      <c r="A49" s="5" t="n"/>
      <c r="B49" s="5" t="inlineStr">
        <is>
          <t>Post-Migration Vuln Scan (per wave)</t>
        </is>
      </c>
      <c r="C49" s="5" t="inlineStr">
        <is>
          <t>CyberSec</t>
        </is>
      </c>
      <c r="D49" s="5" t="inlineStr">
        <is>
          <t>Scan migrated workloads for new vulns introduced during migration</t>
        </is>
      </c>
      <c r="E49" s="7" t="n">
        <v>10</v>
      </c>
      <c r="F49" s="11">
        <f>ROUND(E49*'AI Assumptions'!B28,0)</f>
        <v/>
      </c>
      <c r="G49" s="12">
        <f>IF(E49&gt;0,(E49-F49)/E49*100,0)</f>
        <v/>
      </c>
      <c r="H49" s="7" t="n">
        <v>10</v>
      </c>
      <c r="I49" s="11">
        <f>ROUND(H49*'AI Assumptions'!B28,0)</f>
        <v/>
      </c>
      <c r="J49" s="12">
        <f>IF(H49&gt;0,(H49-I49)/H49*100,0)</f>
        <v/>
      </c>
      <c r="K49" s="7" t="n">
        <v>12</v>
      </c>
      <c r="L49" s="11">
        <f>ROUND(K49*'AI Assumptions'!B28,0)</f>
        <v/>
      </c>
      <c r="M49" s="12">
        <f>IF(K49&gt;0,(K49-L49)/K49*100,0)</f>
        <v/>
      </c>
      <c r="N49" s="13" t="inlineStr">
        <is>
          <t>Not AWS Native scope: Separate Nessus/Qualys; manual delta analysis</t>
        </is>
      </c>
      <c r="O49" s="14" t="inlineStr">
        <is>
          <t>Vuln Discovery Scan</t>
        </is>
      </c>
      <c r="P49" s="14" t="inlineStr">
        <is>
          <t>Compare against pre-migration baseline</t>
        </is>
      </c>
    </row>
    <row r="50">
      <c r="A50" s="5" t="n"/>
      <c r="B50" s="5" t="inlineStr">
        <is>
          <t>Vuln Remediation - Migrated Targets</t>
        </is>
      </c>
      <c r="C50" s="5" t="inlineStr">
        <is>
          <t>CyberSec</t>
        </is>
      </c>
      <c r="D50" s="5" t="inlineStr">
        <is>
          <t>Patch any new vulns found on target cloud instances</t>
        </is>
      </c>
      <c r="E50" s="7" t="n">
        <v>8</v>
      </c>
      <c r="F50" s="11">
        <f>ROUND(E50*'AI Assumptions'!B30,0)</f>
        <v/>
      </c>
      <c r="G50" s="12">
        <f>IF(E50&gt;0,(E50-F50)/E50*100,0)</f>
        <v/>
      </c>
      <c r="H50" s="7" t="n">
        <v>8</v>
      </c>
      <c r="I50" s="11">
        <f>ROUND(H50*'AI Assumptions'!B30,0)</f>
        <v/>
      </c>
      <c r="J50" s="12">
        <f>IF(H50&gt;0,(H50-I50)/H50*100,0)</f>
        <v/>
      </c>
      <c r="K50" s="7" t="n">
        <v>10</v>
      </c>
      <c r="L50" s="11">
        <f>ROUND(K50*'AI Assumptions'!B30,0)</f>
        <v/>
      </c>
      <c r="M50" s="12">
        <f>IF(K50&gt;0,(K50-L50)/K50*100,0)</f>
        <v/>
      </c>
      <c r="N50" s="13" t="inlineStr">
        <is>
          <t>Not AWS Native scope: Separate SSM/Ansible; manual health verification</t>
        </is>
      </c>
      <c r="O50" s="14" t="inlineStr">
        <is>
          <t>Vuln Patch Execution</t>
        </is>
      </c>
      <c r="P50" s="14" t="inlineStr">
        <is>
          <t>New vulns from migration or cloud-specific CVEs</t>
        </is>
      </c>
    </row>
    <row r="51">
      <c r="A51" s="10" t="inlineStr">
        <is>
          <t>Phase 4a: Testing (IQE-Led)</t>
        </is>
      </c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7" t="n"/>
    </row>
    <row r="52">
      <c r="A52" s="5" t="n"/>
      <c r="B52" s="5" t="inlineStr">
        <is>
          <t>FR Testing - Rearchitect (60%)</t>
        </is>
      </c>
      <c r="C52" s="5" t="inlineStr">
        <is>
          <t>IQE</t>
        </is>
      </c>
      <c r="D52" s="5" t="inlineStr">
        <is>
          <t>Full FR for 159 containerized apps @ 60%</t>
        </is>
      </c>
      <c r="E52" s="7" t="n">
        <v>45</v>
      </c>
      <c r="F52" s="11">
        <f>ROUND(E52*'AI Assumptions'!B24,0)</f>
        <v/>
      </c>
      <c r="G52" s="12">
        <f>IF(E52&gt;0,(E52-F52)/E52*100,0)</f>
        <v/>
      </c>
      <c r="H52" s="7" t="n">
        <v>45</v>
      </c>
      <c r="I52" s="11">
        <f>ROUND(H52*'AI Assumptions'!B24,0)</f>
        <v/>
      </c>
      <c r="J52" s="12">
        <f>IF(H52&gt;0,(H52-I52)/H52*100,0)</f>
        <v/>
      </c>
      <c r="K52" s="7" t="n">
        <v>45</v>
      </c>
      <c r="L52" s="11">
        <f>ROUND(K52*'AI Assumptions'!B24,0)</f>
        <v/>
      </c>
      <c r="M52" s="12">
        <f>IF(K52&gt;0,(K52-L52)/K52*100,0)</f>
        <v/>
      </c>
      <c r="N52" s="13" t="inlineStr">
        <is>
          <t>Not AWS Native scope: Manual test design + Selenium/Cypress execution</t>
        </is>
      </c>
      <c r="O52" s="14" t="inlineStr">
        <is>
          <t>FR Testing (60%)</t>
        </is>
      </c>
      <c r="P52" s="14" t="inlineStr">
        <is>
          <t>159 apps x 3d x 60% effort = per platform</t>
        </is>
      </c>
    </row>
    <row r="53">
      <c r="A53" s="5" t="n"/>
      <c r="B53" s="5" t="inlineStr">
        <is>
          <t>FR Testing - Framework Replace (40%)</t>
        </is>
      </c>
      <c r="C53" s="5" t="inlineStr">
        <is>
          <t>IQE</t>
        </is>
      </c>
      <c r="D53" s="5" t="inlineStr">
        <is>
          <t>Targeted FR for 5 framework-replaced apps</t>
        </is>
      </c>
      <c r="E53" s="7" t="n">
        <v>8</v>
      </c>
      <c r="F53" s="11">
        <f>ROUND(E53*'AI Assumptions'!B24,0)</f>
        <v/>
      </c>
      <c r="G53" s="12">
        <f>IF(E53&gt;0,(E53-F53)/E53*100,0)</f>
        <v/>
      </c>
      <c r="H53" s="7" t="n">
        <v>8</v>
      </c>
      <c r="I53" s="11">
        <f>ROUND(H53*'AI Assumptions'!B24,0)</f>
        <v/>
      </c>
      <c r="J53" s="12">
        <f>IF(H53&gt;0,(H53-I53)/H53*100,0)</f>
        <v/>
      </c>
      <c r="K53" s="7" t="n">
        <v>8</v>
      </c>
      <c r="L53" s="11">
        <f>ROUND(K53*'AI Assumptions'!B24,0)</f>
        <v/>
      </c>
      <c r="M53" s="12">
        <f>IF(K53&gt;0,(K53-L53)/K53*100,0)</f>
        <v/>
      </c>
      <c r="N53" s="13" t="inlineStr">
        <is>
          <t>Not AWS Native scope: Manual targeted testing with standard frameworks</t>
        </is>
      </c>
      <c r="O53" s="14" t="inlineStr">
        <is>
          <t>FR Testing (60%)</t>
        </is>
      </c>
      <c r="P53" s="14" t="inlineStr">
        <is>
          <t>5 apps x 5d x 40% effort</t>
        </is>
      </c>
    </row>
    <row r="54">
      <c r="A54" s="5" t="n"/>
      <c r="B54" s="5" t="inlineStr">
        <is>
          <t>NFR Testing - Replatform (30%)</t>
        </is>
      </c>
      <c r="C54" s="5" t="inlineStr">
        <is>
          <t>IQE</t>
        </is>
      </c>
      <c r="D54" s="5" t="inlineStr">
        <is>
          <t>Perf/load/stress for replatformed apps</t>
        </is>
      </c>
      <c r="E54" s="7" t="n">
        <v>20</v>
      </c>
      <c r="F54" s="11">
        <f>ROUND(E54*'AI Assumptions'!B25,0)</f>
        <v/>
      </c>
      <c r="G54" s="12">
        <f>IF(E54&gt;0,(E54-F54)/E54*100,0)</f>
        <v/>
      </c>
      <c r="H54" s="7" t="n">
        <v>20</v>
      </c>
      <c r="I54" s="11">
        <f>ROUND(H54*'AI Assumptions'!B25,0)</f>
        <v/>
      </c>
      <c r="J54" s="12">
        <f>IF(H54&gt;0,(H54-I54)/H54*100,0)</f>
        <v/>
      </c>
      <c r="K54" s="7" t="n">
        <v>22</v>
      </c>
      <c r="L54" s="11">
        <f>ROUND(K54*'AI Assumptions'!B25,0)</f>
        <v/>
      </c>
      <c r="M54" s="12">
        <f>IF(K54&gt;0,(K54-L54)/K54*100,0)</f>
        <v/>
      </c>
      <c r="N54" s="13" t="inlineStr">
        <is>
          <t>Not AWS Native scope: Manual JMeter/Gatling scripting</t>
        </is>
      </c>
      <c r="O54" s="14" t="inlineStr">
        <is>
          <t>NFR Testing (30%)</t>
        </is>
      </c>
      <c r="P54" s="14" t="inlineStr">
        <is>
          <t>Full perf baseline validation</t>
        </is>
      </c>
    </row>
    <row r="55">
      <c r="A55" s="5" t="n"/>
      <c r="B55" s="5" t="inlineStr">
        <is>
          <t>NFR Testing - Replatform Lite (20%)</t>
        </is>
      </c>
      <c r="C55" s="5" t="inlineStr">
        <is>
          <t>IQE</t>
        </is>
      </c>
      <c r="D55" s="5" t="inlineStr">
        <is>
          <t>Basic perf for lift-and-shift apps</t>
        </is>
      </c>
      <c r="E55" s="7" t="n">
        <v>12</v>
      </c>
      <c r="F55" s="11">
        <f>ROUND(E55*'AI Assumptions'!B25,0)</f>
        <v/>
      </c>
      <c r="G55" s="12">
        <f>IF(E55&gt;0,(E55-F55)/E55*100,0)</f>
        <v/>
      </c>
      <c r="H55" s="7" t="n">
        <v>12</v>
      </c>
      <c r="I55" s="11">
        <f>ROUND(H55*'AI Assumptions'!B25,0)</f>
        <v/>
      </c>
      <c r="J55" s="12">
        <f>IF(H55&gt;0,(H55-I55)/H55*100,0)</f>
        <v/>
      </c>
      <c r="K55" s="7" t="n">
        <v>14</v>
      </c>
      <c r="L55" s="11">
        <f>ROUND(K55*'AI Assumptions'!B25,0)</f>
        <v/>
      </c>
      <c r="M55" s="12">
        <f>IF(K55&gt;0,(K55-L55)/K55*100,0)</f>
        <v/>
      </c>
      <c r="N55" s="13" t="inlineStr">
        <is>
          <t>Not AWS Native scope: Manual smoke testing with standard tools</t>
        </is>
      </c>
      <c r="O55" s="14" t="inlineStr">
        <is>
          <t>NFR Testing (30%)</t>
        </is>
      </c>
      <c r="P55" s="14" t="inlineStr">
        <is>
          <t>Smoke + basic perf validation</t>
        </is>
      </c>
    </row>
    <row r="56">
      <c r="A56" s="5" t="n"/>
      <c r="B56" s="5" t="inlineStr">
        <is>
          <t>Security Testing (Pen Test)</t>
        </is>
      </c>
      <c r="C56" s="5" t="inlineStr">
        <is>
          <t>IQE + CyberSec</t>
        </is>
      </c>
      <c r="D56" s="5" t="inlineStr">
        <is>
          <t>Pen testing for tier-1 post-migration</t>
        </is>
      </c>
      <c r="E56" s="7" t="n">
        <v>10</v>
      </c>
      <c r="F56" s="11">
        <f>ROUND(E56*'AI Assumptions'!B25,0)</f>
        <v/>
      </c>
      <c r="G56" s="12">
        <f>IF(E56&gt;0,(E56-F56)/E56*100,0)</f>
        <v/>
      </c>
      <c r="H56" s="7" t="n">
        <v>10</v>
      </c>
      <c r="I56" s="11">
        <f>ROUND(H56*'AI Assumptions'!B25,0)</f>
        <v/>
      </c>
      <c r="J56" s="12">
        <f>IF(H56&gt;0,(H56-I56)/H56*100,0)</f>
        <v/>
      </c>
      <c r="K56" s="7" t="n">
        <v>10</v>
      </c>
      <c r="L56" s="11">
        <f>ROUND(K56*'AI Assumptions'!B25,0)</f>
        <v/>
      </c>
      <c r="M56" s="12">
        <f>IF(K56&gt;0,(K56-L56)/K56*100,0)</f>
        <v/>
      </c>
      <c r="N56" s="13" t="inlineStr">
        <is>
          <t>Not AWS Native scope: Separate pen test tools</t>
        </is>
      </c>
      <c r="O56" s="14" t="inlineStr">
        <is>
          <t>NFR Testing (30%)</t>
        </is>
      </c>
      <c r="P56" s="14" t="inlineStr">
        <is>
          <t>PG&amp;E mandatory for critical apps</t>
        </is>
      </c>
    </row>
    <row r="57">
      <c r="A57" s="5" t="n"/>
      <c r="B57" s="5" t="inlineStr">
        <is>
          <t>UAT Coordination</t>
        </is>
      </c>
      <c r="C57" s="5" t="inlineStr">
        <is>
          <t>IQE</t>
        </is>
      </c>
      <c r="D57" s="5" t="inlineStr">
        <is>
          <t>Coordinate UAT with business teams</t>
        </is>
      </c>
      <c r="E57" s="7" t="n">
        <v>10</v>
      </c>
      <c r="F57" s="11">
        <f>ROUND(E57*'AI Assumptions'!B25,0)</f>
        <v/>
      </c>
      <c r="G57" s="12">
        <f>IF(E57&gt;0,(E57-F57)/E57*100,0)</f>
        <v/>
      </c>
      <c r="H57" s="7" t="n">
        <v>10</v>
      </c>
      <c r="I57" s="11">
        <f>ROUND(H57*'AI Assumptions'!B25,0)</f>
        <v/>
      </c>
      <c r="J57" s="12">
        <f>IF(H57&gt;0,(H57-I57)/H57*100,0)</f>
        <v/>
      </c>
      <c r="K57" s="7" t="n">
        <v>10</v>
      </c>
      <c r="L57" s="11">
        <f>ROUND(K57*'AI Assumptions'!B25,0)</f>
        <v/>
      </c>
      <c r="M57" s="12">
        <f>IF(K57&gt;0,(K57-L57)/K57*100,0)</f>
        <v/>
      </c>
      <c r="N57" s="13" t="inlineStr">
        <is>
          <t>Not AWS Native scope: Standard JIRA/ALM for UAT</t>
        </is>
      </c>
      <c r="O57" s="14" t="inlineStr">
        <is>
          <t>NFR Testing (30%)</t>
        </is>
      </c>
      <c r="P57" s="14" t="inlineStr">
        <is>
          <t>IQE facilitates, business executes</t>
        </is>
      </c>
    </row>
    <row r="58">
      <c r="A58" s="10" t="inlineStr">
        <is>
          <t>Phase 5: Post-Migration Optimize</t>
        </is>
      </c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7" t="n"/>
    </row>
    <row r="59">
      <c r="A59" s="5" t="n"/>
      <c r="B59" s="5" t="inlineStr">
        <is>
          <t>Right-Sizing (4273 servers)</t>
        </is>
      </c>
      <c r="C59" s="5" t="inlineStr">
        <is>
          <t>CIS CLD</t>
        </is>
      </c>
      <c r="D59" s="5" t="inlineStr">
        <is>
          <t>Optimize instance sizes from usage data</t>
        </is>
      </c>
      <c r="E59" s="7" t="n">
        <v>12</v>
      </c>
      <c r="F59" s="11">
        <f>ROUND(E59*'AI Assumptions'!B26,0)</f>
        <v/>
      </c>
      <c r="G59" s="12">
        <f>IF(E59&gt;0,(E59-F59)/E59*100,0)</f>
        <v/>
      </c>
      <c r="H59" s="7" t="n">
        <v>12</v>
      </c>
      <c r="I59" s="11">
        <f>ROUND(H59*'AI Assumptions'!B26,0)</f>
        <v/>
      </c>
      <c r="J59" s="12">
        <f>IF(H59&gt;0,(H59-I59)/H59*100,0)</f>
        <v/>
      </c>
      <c r="K59" s="7" t="n">
        <v>12</v>
      </c>
      <c r="L59" s="11">
        <f>ROUND(K59*'AI Assumptions'!B26,0)</f>
        <v/>
      </c>
      <c r="M59" s="12">
        <f>IF(K59&gt;0,(K59-L59)/K59*100,0)</f>
        <v/>
      </c>
      <c r="N59" s="13" t="inlineStr">
        <is>
          <t>AWS Native Optimization: Wraps Compute Optimizer/Azure Advisor</t>
        </is>
      </c>
      <c r="O59" s="14" t="inlineStr">
        <is>
          <t>Right-Sizing</t>
        </is>
      </c>
      <c r="P59" s="14" t="inlineStr">
        <is>
          <t>AI from 30-day usage analysis</t>
        </is>
      </c>
    </row>
    <row r="60">
      <c r="A60" s="5" t="n"/>
      <c r="B60" s="5" t="inlineStr">
        <is>
          <t>Cost Optimization (FinOps)</t>
        </is>
      </c>
      <c r="C60" s="5" t="inlineStr">
        <is>
          <t>CIS CLD</t>
        </is>
      </c>
      <c r="D60" s="5" t="inlineStr">
        <is>
          <t>Reservations, spot, savings plans</t>
        </is>
      </c>
      <c r="E60" s="7" t="n">
        <v>8</v>
      </c>
      <c r="F60" s="11">
        <f>ROUND(E60*'AI Assumptions'!B12,0)</f>
        <v/>
      </c>
      <c r="G60" s="12">
        <f>IF(E60&gt;0,(E60-F60)/E60*100,0)</f>
        <v/>
      </c>
      <c r="H60" s="7" t="n">
        <v>8</v>
      </c>
      <c r="I60" s="11">
        <f>ROUND(H60*'AI Assumptions'!B12,0)</f>
        <v/>
      </c>
      <c r="J60" s="12">
        <f>IF(H60&gt;0,(H60-I60)/H60*100,0)</f>
        <v/>
      </c>
      <c r="K60" s="7" t="n">
        <v>8</v>
      </c>
      <c r="L60" s="11">
        <f>ROUND(K60*'AI Assumptions'!B12,0)</f>
        <v/>
      </c>
      <c r="M60" s="12">
        <f>IF(K60&gt;0,(K60-L60)/K60*100,0)</f>
        <v/>
      </c>
      <c r="N60" s="13" t="inlineStr">
        <is>
          <t>AWS Native Cost: Basic RI recommendation; manual for spot and spend tracking</t>
        </is>
      </c>
      <c r="O60" s="14" t="inlineStr">
        <is>
          <t>TCO / Cost Modeling</t>
        </is>
      </c>
      <c r="P60" s="14" t="inlineStr">
        <is>
          <t>AI identifies savings opportunities</t>
        </is>
      </c>
    </row>
    <row r="61">
      <c r="A61" s="5" t="n"/>
      <c r="B61" s="5" t="inlineStr">
        <is>
          <t>Monitoring &amp; Alerting Setup</t>
        </is>
      </c>
      <c r="C61" s="5" t="inlineStr">
        <is>
          <t>CIS CLD + EIT</t>
        </is>
      </c>
      <c r="D61" s="5" t="inlineStr">
        <is>
          <t>CloudWatch/Azure Monitor/Grafana</t>
        </is>
      </c>
      <c r="E61" s="7" t="n">
        <v>8</v>
      </c>
      <c r="F61" s="11">
        <f>ROUND(E61*'AI Assumptions'!B27,0)</f>
        <v/>
      </c>
      <c r="G61" s="12">
        <f>IF(E61&gt;0,(E61-F61)/E61*100,0)</f>
        <v/>
      </c>
      <c r="H61" s="7" t="n">
        <v>8</v>
      </c>
      <c r="I61" s="11">
        <f>ROUND(H61*'AI Assumptions'!B27,0)</f>
        <v/>
      </c>
      <c r="J61" s="12">
        <f>IF(H61&gt;0,(H61-I61)/H61*100,0)</f>
        <v/>
      </c>
      <c r="K61" s="7" t="n">
        <v>10</v>
      </c>
      <c r="L61" s="11">
        <f>ROUND(K61*'AI Assumptions'!B27,0)</f>
        <v/>
      </c>
      <c r="M61" s="12">
        <f>IF(K61&gt;0,(K61-L61)/K61*100,0)</f>
        <v/>
      </c>
      <c r="N61" s="13" t="inlineStr">
        <is>
          <t>AWS Native: Basic monitoring templates; manual dashboard configuration</t>
        </is>
      </c>
      <c r="O61" s="14" t="inlineStr">
        <is>
          <t>Monitoring Setup</t>
        </is>
      </c>
      <c r="P61" s="14" t="inlineStr">
        <is>
          <t>Template + PG&amp;E custom alerts</t>
        </is>
      </c>
    </row>
    <row r="62">
      <c r="A62" s="5" t="n"/>
      <c r="B62" s="5" t="inlineStr">
        <is>
          <t>Documentation &amp; Handoff</t>
        </is>
      </c>
      <c r="C62" s="5" t="inlineStr">
        <is>
          <t>All Teams</t>
        </is>
      </c>
      <c r="D62" s="5" t="inlineStr">
        <is>
          <t>Runbooks, architecture docs, KT</t>
        </is>
      </c>
      <c r="E62" s="7" t="n">
        <v>10</v>
      </c>
      <c r="F62" s="11">
        <f>ROUND(E62*'AI Assumptions'!B10,0)</f>
        <v/>
      </c>
      <c r="G62" s="12">
        <f>IF(E62&gt;0,(E62-F62)/E62*100,0)</f>
        <v/>
      </c>
      <c r="H62" s="7" t="n">
        <v>10</v>
      </c>
      <c r="I62" s="11">
        <f>ROUND(H62*'AI Assumptions'!B10,0)</f>
        <v/>
      </c>
      <c r="J62" s="12">
        <f>IF(H62&gt;0,(H62-I62)/H62*100,0)</f>
        <v/>
      </c>
      <c r="K62" s="7" t="n">
        <v>10</v>
      </c>
      <c r="L62" s="11">
        <f>ROUND(K62*'AI Assumptions'!B10,0)</f>
        <v/>
      </c>
      <c r="M62" s="12">
        <f>IF(K62&gt;0,(K62-L62)/K62*100,0)</f>
        <v/>
      </c>
      <c r="N62" s="13" t="inlineStr">
        <is>
          <t>AWS Native: Basic report export; manual runbook and architecture docs</t>
        </is>
      </c>
      <c r="O62" s="14" t="inlineStr">
        <is>
          <t>Compliance &amp; Security</t>
        </is>
      </c>
      <c r="P62" s="14" t="inlineStr">
        <is>
          <t>AI generates draft docs from migration data</t>
        </is>
      </c>
    </row>
    <row r="63">
      <c r="A63" s="5" t="n"/>
      <c r="B63" s="5" t="inlineStr">
        <is>
          <t>Decommission Source Infra</t>
        </is>
      </c>
      <c r="C63" s="5" t="inlineStr">
        <is>
          <t>CIS CLD + EIT</t>
        </is>
      </c>
      <c r="D63" s="5" t="inlineStr">
        <is>
          <t>Shut down on-prem after validation</t>
        </is>
      </c>
      <c r="E63" s="7" t="n">
        <v>10</v>
      </c>
      <c r="F63" s="11">
        <f>ROUND(E63*'AI Assumptions'!B11,0)</f>
        <v/>
      </c>
      <c r="G63" s="12">
        <f>IF(E63&gt;0,(E63-F63)/E63*100,0)</f>
        <v/>
      </c>
      <c r="H63" s="7" t="n">
        <v>10</v>
      </c>
      <c r="I63" s="11">
        <f>ROUND(H63*'AI Assumptions'!B11,0)</f>
        <v/>
      </c>
      <c r="J63" s="12">
        <f>IF(H63&gt;0,(H63-I63)/H63*100,0)</f>
        <v/>
      </c>
      <c r="K63" s="7" t="n">
        <v>10</v>
      </c>
      <c r="L63" s="11">
        <f>ROUND(K63*'AI Assumptions'!B11,0)</f>
        <v/>
      </c>
      <c r="M63" s="12">
        <f>IF(K63&gt;0,(K63-L63)/K63*100,0)</f>
        <v/>
      </c>
      <c r="N63" s="13" t="inlineStr">
        <is>
          <t>AWS Native Decommission: Basic check; manual shutdown confirmation</t>
        </is>
      </c>
      <c r="O63" s="14" t="inlineStr">
        <is>
          <t>License Analysis</t>
        </is>
      </c>
      <c r="P63" s="14" t="inlineStr">
        <is>
          <t>Staged per wave after 30-day soak</t>
        </is>
      </c>
    </row>
    <row r="64">
      <c r="A64" s="5" t="n"/>
      <c r="B64" s="5" t="inlineStr">
        <is>
          <t>Continuous Vuln Monitoring Setup</t>
        </is>
      </c>
      <c r="C64" s="5" t="inlineStr">
        <is>
          <t>CyberSec</t>
        </is>
      </c>
      <c r="D64" s="5" t="inlineStr">
        <is>
          <t>Configure ongoing vuln scanning, auto-ticketing for new CVEs</t>
        </is>
      </c>
      <c r="E64" s="7" t="n">
        <v>8</v>
      </c>
      <c r="F64" s="11">
        <f>ROUND(E64*'AI Assumptions'!B31,0)</f>
        <v/>
      </c>
      <c r="G64" s="12">
        <f>IF(E64&gt;0,(E64-F64)/E64*100,0)</f>
        <v/>
      </c>
      <c r="H64" s="7" t="n">
        <v>8</v>
      </c>
      <c r="I64" s="11">
        <f>ROUND(H64*'AI Assumptions'!B31,0)</f>
        <v/>
      </c>
      <c r="J64" s="12">
        <f>IF(H64&gt;0,(H64-I64)/H64*100,0)</f>
        <v/>
      </c>
      <c r="K64" s="7" t="n">
        <v>10</v>
      </c>
      <c r="L64" s="11">
        <f>ROUND(K64*'AI Assumptions'!B31,0)</f>
        <v/>
      </c>
      <c r="M64" s="12">
        <f>IF(K64&gt;0,(K64-L64)/K64*100,0)</f>
        <v/>
      </c>
      <c r="N64" s="13" t="inlineStr">
        <is>
          <t>Not AWS Native scope: Separate Nessus/Qualys + manual JIRA ticketing</t>
        </is>
      </c>
      <c r="O64" s="14" t="inlineStr">
        <is>
          <t>Vuln Continuous Monitoring</t>
        </is>
      </c>
      <c r="P64" s="14" t="inlineStr">
        <is>
          <t>Ongoing post-migration vulnerability hygiene</t>
        </is>
      </c>
    </row>
    <row r="65">
      <c r="A65" s="5" t="n"/>
      <c r="B65" s="5" t="inlineStr">
        <is>
          <t>Vuln Compliance Dashboard</t>
        </is>
      </c>
      <c r="C65" s="5" t="inlineStr">
        <is>
          <t>CyberSec</t>
        </is>
      </c>
      <c r="D65" s="5" t="inlineStr">
        <is>
          <t>Build vuln posture dashboard for PG&amp;E exec reporting</t>
        </is>
      </c>
      <c r="E65" s="7" t="n">
        <v>5</v>
      </c>
      <c r="F65" s="11">
        <f>ROUND(E65*'AI Assumptions'!B31,0)</f>
        <v/>
      </c>
      <c r="G65" s="12">
        <f>IF(E65&gt;0,(E65-F65)/E65*100,0)</f>
        <v/>
      </c>
      <c r="H65" s="7" t="n">
        <v>5</v>
      </c>
      <c r="I65" s="11">
        <f>ROUND(H65*'AI Assumptions'!B31,0)</f>
        <v/>
      </c>
      <c r="J65" s="12">
        <f>IF(H65&gt;0,(H65-I65)/H65*100,0)</f>
        <v/>
      </c>
      <c r="K65" s="7" t="n">
        <v>5</v>
      </c>
      <c r="L65" s="11">
        <f>ROUND(K65*'AI Assumptions'!B31,0)</f>
        <v/>
      </c>
      <c r="M65" s="12">
        <f>IF(K65&gt;0,(K65-L65)/K65*100,0)</f>
        <v/>
      </c>
      <c r="N65" s="13" t="inlineStr">
        <is>
          <t>Not AWS Native scope: Separate Nessus/Qualys dashboards or manual Excel</t>
        </is>
      </c>
      <c r="O65" s="14" t="inlineStr">
        <is>
          <t>Vuln Continuous Monitoring</t>
        </is>
      </c>
      <c r="P65" s="14" t="inlineStr">
        <is>
          <t>PG&amp;E exec visibility into security posture</t>
        </is>
      </c>
    </row>
    <row r="66">
      <c r="A66" s="15" t="n"/>
      <c r="B66" s="15" t="inlineStr">
        <is>
          <t>TOTAL</t>
        </is>
      </c>
      <c r="C66" s="15" t="n"/>
      <c r="D66" s="15" t="n"/>
      <c r="E66" s="15">
        <f>SUMPRODUCT((E6:E65)*ISNUMBER(E6:E65))</f>
        <v/>
      </c>
      <c r="F66" s="15">
        <f>SUMPRODUCT((F6:F65)*ISNUMBER(F6:F65))</f>
        <v/>
      </c>
      <c r="G66" s="16">
        <f>IF(E66&gt;0,(E66-F66)/E66*100,0)</f>
        <v/>
      </c>
      <c r="H66" s="15">
        <f>SUMPRODUCT((H6:H65)*ISNUMBER(H6:H65))</f>
        <v/>
      </c>
      <c r="I66" s="15">
        <f>SUMPRODUCT((I6:I65)*ISNUMBER(I6:I65))</f>
        <v/>
      </c>
      <c r="J66" s="16">
        <f>IF(H66&gt;0,(H66-I66)/H66*100,0)</f>
        <v/>
      </c>
      <c r="K66" s="15">
        <f>SUMPRODUCT((K6:K65)*ISNUMBER(K6:K65))</f>
        <v/>
      </c>
      <c r="L66" s="15">
        <f>SUMPRODUCT((L6:L65)*ISNUMBER(L6:L65))</f>
        <v/>
      </c>
      <c r="M66" s="16">
        <f>IF(K66&gt;0,(K66-L66)/K66*100,0)</f>
        <v/>
      </c>
      <c r="N66" s="15" t="n"/>
      <c r="O66" s="15" t="n"/>
      <c r="P66" s="15" t="n"/>
    </row>
    <row r="68">
      <c r="A68" s="3" t="inlineStr">
        <is>
          <t>AI Accelerator Savings Summary</t>
        </is>
      </c>
    </row>
    <row r="69">
      <c r="A69" s="4" t="inlineStr"/>
      <c r="B69" s="4" t="inlineStr">
        <is>
          <t>Platform</t>
        </is>
      </c>
      <c r="C69" s="4" t="inlineStr">
        <is>
          <t>Apps</t>
        </is>
      </c>
      <c r="D69" s="4" t="inlineStr">
        <is>
          <t>Servers</t>
        </is>
      </c>
      <c r="E69" s="4" t="inlineStr">
        <is>
          <t>Traditional Days</t>
        </is>
      </c>
      <c r="F69" s="4" t="inlineStr">
        <is>
          <t>AI Days</t>
        </is>
      </c>
      <c r="G69" s="4" t="inlineStr">
        <is>
          <t>Days Saved</t>
        </is>
      </c>
      <c r="H69" s="4" t="inlineStr">
        <is>
          <t>% Saved</t>
        </is>
      </c>
      <c r="I69" s="4" t="inlineStr">
        <is>
          <t>Months Saved</t>
        </is>
      </c>
    </row>
    <row r="70">
      <c r="A70" s="17" t="n"/>
      <c r="B70" s="17" t="inlineStr">
        <is>
          <t>AWS</t>
        </is>
      </c>
      <c r="C70" s="17" t="n">
        <v>107</v>
      </c>
      <c r="D70" s="17" t="n">
        <v>719</v>
      </c>
      <c r="E70" s="17">
        <f>E66</f>
        <v/>
      </c>
      <c r="F70" s="17">
        <f>F66</f>
        <v/>
      </c>
      <c r="G70" s="17">
        <f>E70-F70</f>
        <v/>
      </c>
      <c r="H70" s="18">
        <f>IF(E70&gt;0,(E70-F70)/E70*100,0)</f>
        <v/>
      </c>
      <c r="I70" s="17">
        <f>ROUND(G70/22,1)</f>
        <v/>
      </c>
    </row>
    <row r="71">
      <c r="A71" s="17" t="n"/>
      <c r="B71" s="17" t="inlineStr">
        <is>
          <t>Azure</t>
        </is>
      </c>
      <c r="C71" s="17" t="n">
        <v>145</v>
      </c>
      <c r="D71" s="17" t="n">
        <v>852</v>
      </c>
      <c r="E71" s="17">
        <f>H66</f>
        <v/>
      </c>
      <c r="F71" s="17">
        <f>I66</f>
        <v/>
      </c>
      <c r="G71" s="17">
        <f>E71-F71</f>
        <v/>
      </c>
      <c r="H71" s="18">
        <f>IF(E71&gt;0,(E71-F71)/E71*100,0)</f>
        <v/>
      </c>
      <c r="I71" s="17">
        <f>ROUND(G71/22,1)</f>
        <v/>
      </c>
    </row>
    <row r="72">
      <c r="A72" s="17" t="n"/>
      <c r="B72" s="17" t="inlineStr">
        <is>
          <t>Azure Local/HyperV</t>
        </is>
      </c>
      <c r="C72" s="17" t="n">
        <v>130</v>
      </c>
      <c r="D72" s="17" t="n">
        <v>2702</v>
      </c>
      <c r="E72" s="17">
        <f>K66</f>
        <v/>
      </c>
      <c r="F72" s="17">
        <f>L66</f>
        <v/>
      </c>
      <c r="G72" s="17">
        <f>E72-F72</f>
        <v/>
      </c>
      <c r="H72" s="18">
        <f>IF(E72&gt;0,(E72-F72)/E72*100,0)</f>
        <v/>
      </c>
      <c r="I72" s="17">
        <f>ROUND(G72/22,1)</f>
        <v/>
      </c>
    </row>
  </sheetData>
  <mergeCells count="10">
    <mergeCell ref="A51:P51"/>
    <mergeCell ref="A68:I68"/>
    <mergeCell ref="A1:P1"/>
    <mergeCell ref="A17:P17"/>
    <mergeCell ref="A27:P27"/>
    <mergeCell ref="A6:P6"/>
    <mergeCell ref="A39:P39"/>
    <mergeCell ref="A58:P58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9" t="inlineStr">
        <is>
          <t>PG&amp;E Migration Cost - 4-Team Model, 2-Year Projection</t>
        </is>
      </c>
    </row>
    <row r="2">
      <c r="A2" s="2" t="inlineStr">
        <is>
          <t>415 Apps | 4,273 Servers | Yellow = adjustable input | All costs formula-driven</t>
        </is>
      </c>
    </row>
    <row r="4">
      <c r="A4" s="20" t="inlineStr">
        <is>
          <t>Section A: Team Role Rate Card</t>
        </is>
      </c>
    </row>
    <row r="5" ht="38" customHeight="1">
      <c r="A5" s="4" t="inlineStr">
        <is>
          <t>Team</t>
        </is>
      </c>
      <c r="B5" s="4" t="inlineStr">
        <is>
          <t>Role</t>
        </is>
      </c>
      <c r="C5" s="4" t="inlineStr">
        <is>
          <t>Hourly ($)</t>
        </is>
      </c>
      <c r="D5" s="4" t="inlineStr">
        <is>
          <t>Daily ($)
(8 hrs)</t>
        </is>
      </c>
      <c r="E5" s="4" t="inlineStr">
        <is>
          <t>Monthly ($)
(22 days)</t>
        </is>
      </c>
      <c r="F5" s="4" t="inlineStr">
        <is>
          <t>FTE Count</t>
        </is>
      </c>
      <c r="G5" s="4" t="inlineStr">
        <is>
          <t>Monthly Cost ($)</t>
        </is>
      </c>
      <c r="H5" s="4" t="inlineStr">
        <is>
          <t>Annual Cost ($)</t>
        </is>
      </c>
      <c r="I5" s="4" t="inlineStr">
        <is>
          <t>Location</t>
        </is>
      </c>
    </row>
    <row r="6">
      <c r="A6" s="5" t="inlineStr">
        <is>
          <t>CIS CLD</t>
        </is>
      </c>
      <c r="B6" s="5" t="inlineStr">
        <is>
          <t>Cloud Migration Lead</t>
        </is>
      </c>
      <c r="C6" s="21" t="n">
        <v>180</v>
      </c>
      <c r="D6" s="22">
        <f>C6*8</f>
        <v/>
      </c>
      <c r="E6" s="22">
        <f>D6*22</f>
        <v/>
      </c>
      <c r="F6" s="7" t="n">
        <v>1</v>
      </c>
      <c r="G6" s="22">
        <f>E6*F6</f>
        <v/>
      </c>
      <c r="H6" s="22">
        <f>G6*12</f>
        <v/>
      </c>
      <c r="I6" s="5" t="inlineStr">
        <is>
          <t>Onshore</t>
        </is>
      </c>
    </row>
    <row r="7">
      <c r="A7" s="5" t="inlineStr">
        <is>
          <t>CIS CLD</t>
        </is>
      </c>
      <c r="B7" s="5" t="inlineStr">
        <is>
          <t>Sr. Migration Engineer</t>
        </is>
      </c>
      <c r="C7" s="21" t="n">
        <v>150</v>
      </c>
      <c r="D7" s="22">
        <f>C7*8</f>
        <v/>
      </c>
      <c r="E7" s="22">
        <f>D7*22</f>
        <v/>
      </c>
      <c r="F7" s="7" t="n">
        <v>4</v>
      </c>
      <c r="G7" s="22">
        <f>E7*F7</f>
        <v/>
      </c>
      <c r="H7" s="22">
        <f>G7*12</f>
        <v/>
      </c>
      <c r="I7" s="5" t="inlineStr">
        <is>
          <t>Offshore</t>
        </is>
      </c>
    </row>
    <row r="8">
      <c r="A8" s="5" t="inlineStr">
        <is>
          <t>CIS CLD</t>
        </is>
      </c>
      <c r="B8" s="5" t="inlineStr">
        <is>
          <t>Migration Engineer</t>
        </is>
      </c>
      <c r="C8" s="21" t="n">
        <v>100</v>
      </c>
      <c r="D8" s="22">
        <f>C8*8</f>
        <v/>
      </c>
      <c r="E8" s="22">
        <f>D8*22</f>
        <v/>
      </c>
      <c r="F8" s="7" t="n">
        <v>6</v>
      </c>
      <c r="G8" s="22">
        <f>E8*F8</f>
        <v/>
      </c>
      <c r="H8" s="22">
        <f>G8*12</f>
        <v/>
      </c>
      <c r="I8" s="5" t="inlineStr">
        <is>
          <t>Offshore</t>
        </is>
      </c>
    </row>
    <row r="9">
      <c r="A9" s="5" t="inlineStr">
        <is>
          <t>CIS CLD</t>
        </is>
      </c>
      <c r="B9" s="5" t="inlineStr">
        <is>
          <t>DB Migration Specialist</t>
        </is>
      </c>
      <c r="C9" s="21" t="n">
        <v>160</v>
      </c>
      <c r="D9" s="22">
        <f>C9*8</f>
        <v/>
      </c>
      <c r="E9" s="22">
        <f>D9*22</f>
        <v/>
      </c>
      <c r="F9" s="7" t="n">
        <v>2</v>
      </c>
      <c r="G9" s="22">
        <f>E9*F9</f>
        <v/>
      </c>
      <c r="H9" s="22">
        <f>G9*12</f>
        <v/>
      </c>
      <c r="I9" s="5" t="inlineStr">
        <is>
          <t>Offshore</t>
        </is>
      </c>
    </row>
    <row r="10">
      <c r="A10" s="5" t="inlineStr">
        <is>
          <t>CIS CLD</t>
        </is>
      </c>
      <c r="B10" s="5" t="inlineStr">
        <is>
          <t>DevOps / SRE Engineer</t>
        </is>
      </c>
      <c r="C10" s="21" t="n">
        <v>140</v>
      </c>
      <c r="D10" s="22">
        <f>C10*8</f>
        <v/>
      </c>
      <c r="E10" s="22">
        <f>D10*22</f>
        <v/>
      </c>
      <c r="F10" s="7" t="n">
        <v>2</v>
      </c>
      <c r="G10" s="22">
        <f>E10*F10</f>
        <v/>
      </c>
      <c r="H10" s="22">
        <f>G10*12</f>
        <v/>
      </c>
      <c r="I10" s="5" t="inlineStr">
        <is>
          <t>Offshore</t>
        </is>
      </c>
    </row>
    <row r="11">
      <c r="A11" s="5" t="inlineStr">
        <is>
          <t>CIS CLD</t>
        </is>
      </c>
      <c r="B11" s="5" t="inlineStr">
        <is>
          <t>Network Engineer (App-Level)</t>
        </is>
      </c>
      <c r="C11" s="21" t="n">
        <v>125</v>
      </c>
      <c r="D11" s="22">
        <f>C11*8</f>
        <v/>
      </c>
      <c r="E11" s="22">
        <f>D11*22</f>
        <v/>
      </c>
      <c r="F11" s="7" t="n">
        <v>0</v>
      </c>
      <c r="G11" s="22">
        <f>E11*F11</f>
        <v/>
      </c>
      <c r="H11" s="22">
        <f>G11*12</f>
        <v/>
      </c>
      <c r="I11" s="5" t="inlineStr">
        <is>
          <t>Offshore</t>
        </is>
      </c>
    </row>
    <row r="12">
      <c r="A12" s="5" t="inlineStr">
        <is>
          <t>CIS CLD</t>
        </is>
      </c>
      <c r="B12" s="5" t="inlineStr">
        <is>
          <t>Project Manager</t>
        </is>
      </c>
      <c r="C12" s="21" t="n">
        <v>155</v>
      </c>
      <c r="D12" s="22">
        <f>C12*8</f>
        <v/>
      </c>
      <c r="E12" s="22">
        <f>D12*22</f>
        <v/>
      </c>
      <c r="F12" s="7" t="n">
        <v>1</v>
      </c>
      <c r="G12" s="22">
        <f>E12*F12</f>
        <v/>
      </c>
      <c r="H12" s="22">
        <f>G12*12</f>
        <v/>
      </c>
      <c r="I12" s="5" t="inlineStr">
        <is>
          <t>Onshore</t>
        </is>
      </c>
    </row>
    <row r="13">
      <c r="A13" s="5" t="inlineStr">
        <is>
          <t>CIS EIT</t>
        </is>
      </c>
      <c r="B13" s="5" t="inlineStr">
        <is>
          <t>Azure Local / HyperV Lead</t>
        </is>
      </c>
      <c r="C13" s="21" t="n">
        <v>170</v>
      </c>
      <c r="D13" s="22">
        <f>C13*8</f>
        <v/>
      </c>
      <c r="E13" s="22">
        <f>D13*22</f>
        <v/>
      </c>
      <c r="F13" s="7" t="n">
        <v>1</v>
      </c>
      <c r="G13" s="22">
        <f>E13*F13</f>
        <v/>
      </c>
      <c r="H13" s="22">
        <f>G13*12</f>
        <v/>
      </c>
      <c r="I13" s="5" t="inlineStr">
        <is>
          <t>Onshore</t>
        </is>
      </c>
    </row>
    <row r="14">
      <c r="A14" s="5" t="inlineStr">
        <is>
          <t>CIS EIT</t>
        </is>
      </c>
      <c r="B14" s="5" t="inlineStr">
        <is>
          <t>Infrastructure Engineer</t>
        </is>
      </c>
      <c r="C14" s="21" t="n">
        <v>130</v>
      </c>
      <c r="D14" s="22">
        <f>C14*8</f>
        <v/>
      </c>
      <c r="E14" s="22">
        <f>D14*22</f>
        <v/>
      </c>
      <c r="F14" s="7" t="n">
        <v>3</v>
      </c>
      <c r="G14" s="22">
        <f>E14*F14</f>
        <v/>
      </c>
      <c r="H14" s="22">
        <f>G14*12</f>
        <v/>
      </c>
      <c r="I14" s="5" t="inlineStr">
        <is>
          <t>Offshore</t>
        </is>
      </c>
    </row>
    <row r="15">
      <c r="A15" s="5" t="inlineStr">
        <is>
          <t>CIS EIT</t>
        </is>
      </c>
      <c r="B15" s="5" t="inlineStr">
        <is>
          <t>Network Engineer (App-Level)</t>
        </is>
      </c>
      <c r="C15" s="21" t="n">
        <v>125</v>
      </c>
      <c r="D15" s="22">
        <f>C15*8</f>
        <v/>
      </c>
      <c r="E15" s="22">
        <f>D15*22</f>
        <v/>
      </c>
      <c r="F15" s="7" t="n">
        <v>0</v>
      </c>
      <c r="G15" s="22">
        <f>E15*F15</f>
        <v/>
      </c>
      <c r="H15" s="22">
        <f>G15*12</f>
        <v/>
      </c>
      <c r="I15" s="5" t="inlineStr">
        <is>
          <t>Offshore</t>
        </is>
      </c>
    </row>
    <row r="16">
      <c r="A16" s="5" t="inlineStr">
        <is>
          <t>ADM</t>
        </is>
      </c>
      <c r="B16" s="5" t="inlineStr">
        <is>
          <t>App Modernization Lead</t>
        </is>
      </c>
      <c r="C16" s="21" t="n">
        <v>175</v>
      </c>
      <c r="D16" s="22">
        <f>C16*8</f>
        <v/>
      </c>
      <c r="E16" s="22">
        <f>D16*22</f>
        <v/>
      </c>
      <c r="F16" s="7" t="n">
        <v>1</v>
      </c>
      <c r="G16" s="22">
        <f>E16*F16</f>
        <v/>
      </c>
      <c r="H16" s="22">
        <f>G16*12</f>
        <v/>
      </c>
      <c r="I16" s="5" t="inlineStr">
        <is>
          <t>Onshore</t>
        </is>
      </c>
    </row>
    <row r="17">
      <c r="A17" s="5" t="inlineStr">
        <is>
          <t>ADM</t>
        </is>
      </c>
      <c r="B17" s="5" t="inlineStr">
        <is>
          <t>Sr. App Developer</t>
        </is>
      </c>
      <c r="C17" s="21" t="n">
        <v>145</v>
      </c>
      <c r="D17" s="22">
        <f>C17*8</f>
        <v/>
      </c>
      <c r="E17" s="22">
        <f>D17*22</f>
        <v/>
      </c>
      <c r="F17" s="7" t="n">
        <v>4</v>
      </c>
      <c r="G17" s="22">
        <f>E17*F17</f>
        <v/>
      </c>
      <c r="H17" s="22">
        <f>G17*12</f>
        <v/>
      </c>
      <c r="I17" s="5" t="inlineStr">
        <is>
          <t>Offshore</t>
        </is>
      </c>
    </row>
    <row r="18">
      <c r="A18" s="5" t="inlineStr">
        <is>
          <t>ADM</t>
        </is>
      </c>
      <c r="B18" s="5" t="inlineStr">
        <is>
          <t>App Developer</t>
        </is>
      </c>
      <c r="C18" s="21" t="n">
        <v>100</v>
      </c>
      <c r="D18" s="22">
        <f>C18*8</f>
        <v/>
      </c>
      <c r="E18" s="22">
        <f>D18*22</f>
        <v/>
      </c>
      <c r="F18" s="7" t="n">
        <v>6</v>
      </c>
      <c r="G18" s="22">
        <f>E18*F18</f>
        <v/>
      </c>
      <c r="H18" s="22">
        <f>G18*12</f>
        <v/>
      </c>
      <c r="I18" s="5" t="inlineStr">
        <is>
          <t>Offshore</t>
        </is>
      </c>
    </row>
    <row r="19">
      <c r="A19" s="5" t="inlineStr">
        <is>
          <t>ADM</t>
        </is>
      </c>
      <c r="B19" s="5" t="inlineStr">
        <is>
          <t>Middleware Engineer</t>
        </is>
      </c>
      <c r="C19" s="21" t="n">
        <v>135</v>
      </c>
      <c r="D19" s="22">
        <f>C19*8</f>
        <v/>
      </c>
      <c r="E19" s="22">
        <f>D19*22</f>
        <v/>
      </c>
      <c r="F19" s="7" t="n">
        <v>2</v>
      </c>
      <c r="G19" s="22">
        <f>E19*F19</f>
        <v/>
      </c>
      <c r="H19" s="22">
        <f>G19*12</f>
        <v/>
      </c>
      <c r="I19" s="5" t="inlineStr">
        <is>
          <t>Offshore</t>
        </is>
      </c>
    </row>
    <row r="20">
      <c r="A20" s="5" t="inlineStr">
        <is>
          <t>ADM</t>
        </is>
      </c>
      <c r="B20" s="5" t="inlineStr">
        <is>
          <t>DevOps (K8s)</t>
        </is>
      </c>
      <c r="C20" s="21" t="n">
        <v>140</v>
      </c>
      <c r="D20" s="22">
        <f>C20*8</f>
        <v/>
      </c>
      <c r="E20" s="22">
        <f>D20*22</f>
        <v/>
      </c>
      <c r="F20" s="7" t="n">
        <v>2</v>
      </c>
      <c r="G20" s="22">
        <f>E20*F20</f>
        <v/>
      </c>
      <c r="H20" s="22">
        <f>G20*12</f>
        <v/>
      </c>
      <c r="I20" s="5" t="inlineStr">
        <is>
          <t>Offshore</t>
        </is>
      </c>
    </row>
    <row r="21">
      <c r="A21" s="5" t="inlineStr">
        <is>
          <t>IQE</t>
        </is>
      </c>
      <c r="B21" s="5" t="inlineStr">
        <is>
          <t>Test Lead</t>
        </is>
      </c>
      <c r="C21" s="21" t="n">
        <v>150</v>
      </c>
      <c r="D21" s="22">
        <f>C21*8</f>
        <v/>
      </c>
      <c r="E21" s="22">
        <f>D21*22</f>
        <v/>
      </c>
      <c r="F21" s="7" t="n">
        <v>1</v>
      </c>
      <c r="G21" s="22">
        <f>E21*F21</f>
        <v/>
      </c>
      <c r="H21" s="22">
        <f>G21*12</f>
        <v/>
      </c>
      <c r="I21" s="5" t="inlineStr">
        <is>
          <t>Onshore</t>
        </is>
      </c>
    </row>
    <row r="22">
      <c r="A22" s="5" t="inlineStr">
        <is>
          <t>IQE</t>
        </is>
      </c>
      <c r="B22" s="5" t="inlineStr">
        <is>
          <t>Sr. Test Engineer (FR)</t>
        </is>
      </c>
      <c r="C22" s="21" t="n">
        <v>120</v>
      </c>
      <c r="D22" s="22">
        <f>C22*8</f>
        <v/>
      </c>
      <c r="E22" s="22">
        <f>D22*22</f>
        <v/>
      </c>
      <c r="F22" s="7" t="n">
        <v>3</v>
      </c>
      <c r="G22" s="22">
        <f>E22*F22</f>
        <v/>
      </c>
      <c r="H22" s="22">
        <f>G22*12</f>
        <v/>
      </c>
      <c r="I22" s="5" t="inlineStr">
        <is>
          <t>Offshore</t>
        </is>
      </c>
    </row>
    <row r="23">
      <c r="A23" s="5" t="inlineStr">
        <is>
          <t>IQE</t>
        </is>
      </c>
      <c r="B23" s="5" t="inlineStr">
        <is>
          <t>Perf Test Engineer (NFR)</t>
        </is>
      </c>
      <c r="C23" s="21" t="n">
        <v>130</v>
      </c>
      <c r="D23" s="22">
        <f>C23*8</f>
        <v/>
      </c>
      <c r="E23" s="22">
        <f>D23*22</f>
        <v/>
      </c>
      <c r="F23" s="7" t="n">
        <v>2</v>
      </c>
      <c r="G23" s="22">
        <f>E23*F23</f>
        <v/>
      </c>
      <c r="H23" s="22">
        <f>G23*12</f>
        <v/>
      </c>
      <c r="I23" s="5" t="inlineStr">
        <is>
          <t>Offshore</t>
        </is>
      </c>
    </row>
    <row r="24">
      <c r="A24" s="5" t="inlineStr">
        <is>
          <t>IQE</t>
        </is>
      </c>
      <c r="B24" s="5" t="inlineStr">
        <is>
          <t>Security Test Engineer</t>
        </is>
      </c>
      <c r="C24" s="21" t="n">
        <v>140</v>
      </c>
      <c r="D24" s="22">
        <f>C24*8</f>
        <v/>
      </c>
      <c r="E24" s="22">
        <f>D24*22</f>
        <v/>
      </c>
      <c r="F24" s="7" t="n">
        <v>1</v>
      </c>
      <c r="G24" s="22">
        <f>E24*F24</f>
        <v/>
      </c>
      <c r="H24" s="22">
        <f>G24*12</f>
        <v/>
      </c>
      <c r="I24" s="5" t="inlineStr">
        <is>
          <t>Offshore</t>
        </is>
      </c>
    </row>
    <row r="25">
      <c r="A25" s="5" t="inlineStr">
        <is>
          <t>IQE</t>
        </is>
      </c>
      <c r="B25" s="5" t="inlineStr">
        <is>
          <t>Test Automation Engineer</t>
        </is>
      </c>
      <c r="C25" s="21" t="n">
        <v>125</v>
      </c>
      <c r="D25" s="22">
        <f>C25*8</f>
        <v/>
      </c>
      <c r="E25" s="22">
        <f>D25*22</f>
        <v/>
      </c>
      <c r="F25" s="7" t="n">
        <v>2</v>
      </c>
      <c r="G25" s="22">
        <f>E25*F25</f>
        <v/>
      </c>
      <c r="H25" s="22">
        <f>G25*12</f>
        <v/>
      </c>
      <c r="I25" s="5" t="inlineStr">
        <is>
          <t>Offshore</t>
        </is>
      </c>
    </row>
    <row r="26">
      <c r="A26" s="5" t="inlineStr">
        <is>
          <t>CyberSec</t>
        </is>
      </c>
      <c r="B26" s="5" t="inlineStr">
        <is>
          <t>Security Analyst</t>
        </is>
      </c>
      <c r="C26" s="21" t="n">
        <v>155</v>
      </c>
      <c r="D26" s="22">
        <f>C26*8</f>
        <v/>
      </c>
      <c r="E26" s="22">
        <f>D26*22</f>
        <v/>
      </c>
      <c r="F26" s="7" t="n">
        <v>1</v>
      </c>
      <c r="G26" s="22">
        <f>E26*F26</f>
        <v/>
      </c>
      <c r="H26" s="22">
        <f>G26*12</f>
        <v/>
      </c>
      <c r="I26" s="5" t="inlineStr">
        <is>
          <t>Onshore</t>
        </is>
      </c>
    </row>
    <row r="27">
      <c r="A27" s="5" t="inlineStr">
        <is>
          <t>CyberSec</t>
        </is>
      </c>
      <c r="B27" s="5" t="inlineStr">
        <is>
          <t>Vuln Mgmt Engineer</t>
        </is>
      </c>
      <c r="C27" s="21" t="n">
        <v>140</v>
      </c>
      <c r="D27" s="22">
        <f>C27*8</f>
        <v/>
      </c>
      <c r="E27" s="22">
        <f>D27*22</f>
        <v/>
      </c>
      <c r="F27" s="7" t="n">
        <v>2</v>
      </c>
      <c r="G27" s="22">
        <f>E27*F27</f>
        <v/>
      </c>
      <c r="H27" s="22">
        <f>G27*12</f>
        <v/>
      </c>
      <c r="I27" s="5" t="inlineStr">
        <is>
          <t>Offshore</t>
        </is>
      </c>
    </row>
    <row r="28">
      <c r="A28" s="5" t="inlineStr">
        <is>
          <t>FinOps</t>
        </is>
      </c>
      <c r="B28" s="5" t="inlineStr">
        <is>
          <t>FinOps Analyst</t>
        </is>
      </c>
      <c r="C28" s="21" t="n">
        <v>130</v>
      </c>
      <c r="D28" s="22">
        <f>C28*8</f>
        <v/>
      </c>
      <c r="E28" s="22">
        <f>D28*22</f>
        <v/>
      </c>
      <c r="F28" s="7" t="n">
        <v>1</v>
      </c>
      <c r="G28" s="22">
        <f>E28*F28</f>
        <v/>
      </c>
      <c r="H28" s="22">
        <f>G28*12</f>
        <v/>
      </c>
      <c r="I28" s="5" t="inlineStr">
        <is>
          <t>Offshore</t>
        </is>
      </c>
    </row>
    <row r="29">
      <c r="A29" s="15" t="inlineStr">
        <is>
          <t>TOTAL ALL TEAMS</t>
        </is>
      </c>
      <c r="B29" s="15" t="n"/>
      <c r="C29" s="15" t="n"/>
      <c r="D29" s="15" t="n"/>
      <c r="E29" s="15" t="n"/>
      <c r="F29" s="15">
        <f>SUM(F6:F28)</f>
        <v/>
      </c>
      <c r="G29" s="23">
        <f>SUM(G6:G28)</f>
        <v/>
      </c>
      <c r="H29" s="23">
        <f>SUM(H6:H28)</f>
        <v/>
      </c>
      <c r="I29" s="15" t="n"/>
    </row>
    <row r="32">
      <c r="A32" s="20" t="inlineStr">
        <is>
          <t>Section B: Phase-Based Cost (Duration from Migration Activities tab)</t>
        </is>
      </c>
    </row>
    <row r="33" ht="40" customHeight="1">
      <c r="A33" s="4" t="inlineStr">
        <is>
          <t>Phase</t>
        </is>
      </c>
      <c r="B33" s="4" t="inlineStr">
        <is>
          <t>Primary Team</t>
        </is>
      </c>
      <c r="C33" s="4" t="inlineStr">
        <is>
          <t>Trad Days</t>
        </is>
      </c>
      <c r="D33" s="4" t="inlineStr">
        <is>
          <t>AI Days</t>
        </is>
      </c>
      <c r="E33" s="4" t="inlineStr">
        <is>
          <t>Team FTEs</t>
        </is>
      </c>
      <c r="F33" s="4" t="inlineStr">
        <is>
          <t>Blended Daily
Rate ($)</t>
        </is>
      </c>
      <c r="G33" s="4" t="inlineStr">
        <is>
          <t>Traditional
Cost ($)</t>
        </is>
      </c>
      <c r="H33" s="4" t="inlineStr">
        <is>
          <t>AI Cost ($)</t>
        </is>
      </c>
      <c r="I33" s="4" t="inlineStr">
        <is>
          <t>Savings ($)</t>
        </is>
      </c>
      <c r="J33" s="4" t="inlineStr">
        <is>
          <t>Savings %</t>
        </is>
      </c>
      <c r="K33" s="4" t="inlineStr">
        <is>
          <t>Cloud Infra
$/Month</t>
        </is>
      </c>
      <c r="L33" s="4" t="inlineStr">
        <is>
          <t>Phase Total
AI ($)</t>
        </is>
      </c>
    </row>
    <row r="34">
      <c r="A34" s="5" t="inlineStr">
        <is>
          <t>Discovery &amp; Assessment [COMPLETED]</t>
        </is>
      </c>
      <c r="B34" s="5" t="inlineStr">
        <is>
          <t>CIS CLD + EIT</t>
        </is>
      </c>
      <c r="C34" s="7" t="n">
        <v>0</v>
      </c>
      <c r="D34" s="7" t="n">
        <v>0</v>
      </c>
      <c r="E34" s="7" t="n">
        <v>0</v>
      </c>
      <c r="F34" s="21" t="n">
        <v>1050</v>
      </c>
      <c r="G34" s="22">
        <f>C34*E34*F34</f>
        <v/>
      </c>
      <c r="H34" s="22">
        <f>D34*E34*F34</f>
        <v/>
      </c>
      <c r="I34" s="22">
        <f>G34-H34</f>
        <v/>
      </c>
      <c r="J34" s="24">
        <f>IF(G34&gt;0,(G34-H34)/G34*100,0)</f>
        <v/>
      </c>
      <c r="K34" s="21" t="n">
        <v>0</v>
      </c>
      <c r="L34" s="22">
        <f>H34+(K34*ROUND(D34/22,1))+2000</f>
        <v/>
      </c>
    </row>
    <row r="35">
      <c r="A35" s="5" t="inlineStr">
        <is>
          <t>Planning &amp; Design</t>
        </is>
      </c>
      <c r="B35" s="5" t="inlineStr">
        <is>
          <t>CIS CLD + ADM</t>
        </is>
      </c>
      <c r="C35" s="7" t="n">
        <v>68</v>
      </c>
      <c r="D35" s="7" t="n">
        <v>23</v>
      </c>
      <c r="E35" s="7" t="n">
        <v>14</v>
      </c>
      <c r="F35" s="21" t="n">
        <v>1100</v>
      </c>
      <c r="G35" s="22">
        <f>C35*E35*F35</f>
        <v/>
      </c>
      <c r="H35" s="22">
        <f>D35*E35*F35</f>
        <v/>
      </c>
      <c r="I35" s="22">
        <f>G35-H35</f>
        <v/>
      </c>
      <c r="J35" s="24">
        <f>IF(G35&gt;0,(G35-H35)/G35*100,0)</f>
        <v/>
      </c>
      <c r="K35" s="21" t="n">
        <v>500</v>
      </c>
      <c r="L35" s="22">
        <f>H35+(K35*ROUND(D35/22,1))+2000</f>
        <v/>
      </c>
    </row>
    <row r="36">
      <c r="A36" s="5" t="inlineStr">
        <is>
          <t>Build &amp; Prepare</t>
        </is>
      </c>
      <c r="B36" s="5" t="inlineStr">
        <is>
          <t>All Teams</t>
        </is>
      </c>
      <c r="C36" s="7" t="n">
        <v>108</v>
      </c>
      <c r="D36" s="7" t="n">
        <v>37</v>
      </c>
      <c r="E36" s="7" t="n">
        <v>18</v>
      </c>
      <c r="F36" s="21" t="n">
        <v>1050</v>
      </c>
      <c r="G36" s="22">
        <f>C36*E36*F36</f>
        <v/>
      </c>
      <c r="H36" s="22">
        <f>D36*E36*F36</f>
        <v/>
      </c>
      <c r="I36" s="22">
        <f>G36-H36</f>
        <v/>
      </c>
      <c r="J36" s="24">
        <f>IF(G36&gt;0,(G36-H36)/G36*100,0)</f>
        <v/>
      </c>
      <c r="K36" s="21" t="n">
        <v>1000</v>
      </c>
      <c r="L36" s="22">
        <f>H36+(K36*ROUND(D36/22,1))+2000</f>
        <v/>
      </c>
    </row>
    <row r="37">
      <c r="A37" s="5" t="inlineStr">
        <is>
          <t>Migration Execution - Rehost</t>
        </is>
      </c>
      <c r="B37" s="5" t="inlineStr">
        <is>
          <t>CIS CLD + EIT</t>
        </is>
      </c>
      <c r="C37" s="7" t="n">
        <v>83</v>
      </c>
      <c r="D37" s="7" t="n">
        <v>28</v>
      </c>
      <c r="E37" s="7" t="n">
        <v>14</v>
      </c>
      <c r="F37" s="21" t="n">
        <v>1050</v>
      </c>
      <c r="G37" s="22">
        <f>C37*E37*F37</f>
        <v/>
      </c>
      <c r="H37" s="22">
        <f>D37*E37*F37</f>
        <v/>
      </c>
      <c r="I37" s="22">
        <f>G37-H37</f>
        <v/>
      </c>
      <c r="J37" s="24">
        <f>IF(G37&gt;0,(G37-H37)/G37*100,0)</f>
        <v/>
      </c>
      <c r="K37" s="21" t="n">
        <v>0</v>
      </c>
      <c r="L37" s="22">
        <f>H37+(K37*ROUND(D37/22,1))+2000</f>
        <v/>
      </c>
    </row>
    <row r="38">
      <c r="A38" s="5" t="inlineStr">
        <is>
          <t>Migration Execution - Containerize</t>
        </is>
      </c>
      <c r="B38" s="5" t="inlineStr">
        <is>
          <t>ADM</t>
        </is>
      </c>
      <c r="C38" s="7" t="n">
        <v>43</v>
      </c>
      <c r="D38" s="7" t="n">
        <v>15</v>
      </c>
      <c r="E38" s="7" t="n">
        <v>15</v>
      </c>
      <c r="F38" s="21" t="n">
        <v>1000</v>
      </c>
      <c r="G38" s="22">
        <f>C38*E38*F38</f>
        <v/>
      </c>
      <c r="H38" s="22">
        <f>D38*E38*F38</f>
        <v/>
      </c>
      <c r="I38" s="22">
        <f>G38-H38</f>
        <v/>
      </c>
      <c r="J38" s="24">
        <f>IF(G38&gt;0,(G38-H38)/G38*100,0)</f>
        <v/>
      </c>
      <c r="K38" s="21" t="n">
        <v>0</v>
      </c>
      <c r="L38" s="22">
        <f>H38+(K38*ROUND(D38/22,1))+2000</f>
        <v/>
      </c>
    </row>
    <row r="39">
      <c r="A39" s="5" t="inlineStr">
        <is>
          <t>Migration Execution - Other</t>
        </is>
      </c>
      <c r="B39" s="5" t="inlineStr">
        <is>
          <t>CIS CLD</t>
        </is>
      </c>
      <c r="C39" s="7" t="n">
        <v>30</v>
      </c>
      <c r="D39" s="7" t="n">
        <v>10</v>
      </c>
      <c r="E39" s="7" t="n">
        <v>8</v>
      </c>
      <c r="F39" s="21" t="n">
        <v>1100</v>
      </c>
      <c r="G39" s="22">
        <f>C39*E39*F39</f>
        <v/>
      </c>
      <c r="H39" s="22">
        <f>D39*E39*F39</f>
        <v/>
      </c>
      <c r="I39" s="22">
        <f>G39-H39</f>
        <v/>
      </c>
      <c r="J39" s="24">
        <f>IF(G39&gt;0,(G39-H39)/G39*100,0)</f>
        <v/>
      </c>
      <c r="K39" s="21" t="n">
        <v>0</v>
      </c>
      <c r="L39" s="22">
        <f>H39+(K39*ROUND(D39/22,1))+2000</f>
        <v/>
      </c>
    </row>
    <row r="40">
      <c r="A40" s="5" t="inlineStr">
        <is>
          <t>Testing - FR (Rearchitect 60%)</t>
        </is>
      </c>
      <c r="B40" s="5" t="inlineStr">
        <is>
          <t>IQE</t>
        </is>
      </c>
      <c r="C40" s="7" t="n">
        <v>53</v>
      </c>
      <c r="D40" s="7" t="n">
        <v>18</v>
      </c>
      <c r="E40" s="7" t="n">
        <v>9</v>
      </c>
      <c r="F40" s="21" t="n">
        <v>1000</v>
      </c>
      <c r="G40" s="22">
        <f>C40*E40*F40</f>
        <v/>
      </c>
      <c r="H40" s="22">
        <f>D40*E40*F40</f>
        <v/>
      </c>
      <c r="I40" s="22">
        <f>G40-H40</f>
        <v/>
      </c>
      <c r="J40" s="24">
        <f>IF(G40&gt;0,(G40-H40)/G40*100,0)</f>
        <v/>
      </c>
      <c r="K40" s="21" t="n">
        <v>0</v>
      </c>
      <c r="L40" s="22">
        <f>H40+(K40*ROUND(D40/22,1))+2000</f>
        <v/>
      </c>
    </row>
    <row r="41">
      <c r="A41" s="5" t="inlineStr">
        <is>
          <t>Testing - NFR (Replatform 30%)</t>
        </is>
      </c>
      <c r="B41" s="5" t="inlineStr">
        <is>
          <t>IQE</t>
        </is>
      </c>
      <c r="C41" s="7" t="n">
        <v>32</v>
      </c>
      <c r="D41" s="7" t="n">
        <v>11</v>
      </c>
      <c r="E41" s="7" t="n">
        <v>6</v>
      </c>
      <c r="F41" s="21" t="n">
        <v>1050</v>
      </c>
      <c r="G41" s="22">
        <f>C41*E41*F41</f>
        <v/>
      </c>
      <c r="H41" s="22">
        <f>D41*E41*F41</f>
        <v/>
      </c>
      <c r="I41" s="22">
        <f>G41-H41</f>
        <v/>
      </c>
      <c r="J41" s="24">
        <f>IF(G41&gt;0,(G41-H41)/G41*100,0)</f>
        <v/>
      </c>
      <c r="K41" s="21" t="n">
        <v>0</v>
      </c>
      <c r="L41" s="22">
        <f>H41+(K41*ROUND(D41/22,1))+2000</f>
        <v/>
      </c>
    </row>
    <row r="42">
      <c r="A42" s="5" t="inlineStr">
        <is>
          <t>Testing - Security &amp; UAT</t>
        </is>
      </c>
      <c r="B42" s="5" t="inlineStr">
        <is>
          <t>IQE + CyberSec</t>
        </is>
      </c>
      <c r="C42" s="7" t="n">
        <v>20</v>
      </c>
      <c r="D42" s="7" t="n">
        <v>7</v>
      </c>
      <c r="E42" s="7" t="n">
        <v>5</v>
      </c>
      <c r="F42" s="21" t="n">
        <v>1100</v>
      </c>
      <c r="G42" s="22">
        <f>C42*E42*F42</f>
        <v/>
      </c>
      <c r="H42" s="22">
        <f>D42*E42*F42</f>
        <v/>
      </c>
      <c r="I42" s="22">
        <f>G42-H42</f>
        <v/>
      </c>
      <c r="J42" s="24">
        <f>IF(G42&gt;0,(G42-H42)/G42*100,0)</f>
        <v/>
      </c>
      <c r="K42" s="21" t="n">
        <v>0</v>
      </c>
      <c r="L42" s="22">
        <f>H42+(K42*ROUND(D42/22,1))+2000</f>
        <v/>
      </c>
    </row>
    <row r="43">
      <c r="A43" s="5" t="inlineStr">
        <is>
          <t>Vulnerability Management (All Phases)</t>
        </is>
      </c>
      <c r="B43" s="5" t="inlineStr">
        <is>
          <t>CyberSec</t>
        </is>
      </c>
      <c r="C43" s="7" t="n">
        <v>68</v>
      </c>
      <c r="D43" s="7" t="n">
        <v>23</v>
      </c>
      <c r="E43" s="7" t="n">
        <v>4</v>
      </c>
      <c r="F43" s="21" t="n">
        <v>1100</v>
      </c>
      <c r="G43" s="22">
        <f>C43*E43*F43</f>
        <v/>
      </c>
      <c r="H43" s="22">
        <f>D43*E43*F43</f>
        <v/>
      </c>
      <c r="I43" s="22">
        <f>G43-H43</f>
        <v/>
      </c>
      <c r="J43" s="24">
        <f>IF(G43&gt;0,(G43-H43)/G43*100,0)</f>
        <v/>
      </c>
      <c r="K43" s="21" t="n">
        <v>0</v>
      </c>
      <c r="L43" s="22">
        <f>H43+(K43*ROUND(D43/22,1))+2000</f>
        <v/>
      </c>
    </row>
    <row r="44">
      <c r="A44" s="5" t="inlineStr">
        <is>
          <t>Post-Migration Optimize</t>
        </is>
      </c>
      <c r="B44" s="5" t="inlineStr">
        <is>
          <t>CIS CLD</t>
        </is>
      </c>
      <c r="C44" s="7" t="n">
        <v>48</v>
      </c>
      <c r="D44" s="7" t="n">
        <v>16</v>
      </c>
      <c r="E44" s="7" t="n">
        <v>8</v>
      </c>
      <c r="F44" s="21" t="n">
        <v>1050</v>
      </c>
      <c r="G44" s="22">
        <f>C44*E44*F44</f>
        <v/>
      </c>
      <c r="H44" s="22">
        <f>D44*E44*F44</f>
        <v/>
      </c>
      <c r="I44" s="22">
        <f>G44-H44</f>
        <v/>
      </c>
      <c r="J44" s="24">
        <f>IF(G44&gt;0,(G44-H44)/G44*100,0)</f>
        <v/>
      </c>
      <c r="K44" s="21" t="n">
        <v>0</v>
      </c>
      <c r="L44" s="22">
        <f>H44+(K44*ROUND(D44/22,1))+2000</f>
        <v/>
      </c>
    </row>
    <row r="45">
      <c r="A45" s="15" t="inlineStr">
        <is>
          <t>TOTAL ALL PHASES</t>
        </is>
      </c>
      <c r="B45" s="15" t="n"/>
      <c r="C45" s="23">
        <f>SUM(C34:C44)</f>
        <v/>
      </c>
      <c r="D45" s="23">
        <f>SUM(D34:D44)</f>
        <v/>
      </c>
      <c r="E45" s="15" t="n"/>
      <c r="F45" s="15" t="n"/>
      <c r="G45" s="23">
        <f>SUM(G34:G44)</f>
        <v/>
      </c>
      <c r="H45" s="23">
        <f>SUM(H34:H44)</f>
        <v/>
      </c>
      <c r="I45" s="23">
        <f>SUM(I34:I44)</f>
        <v/>
      </c>
      <c r="J45" s="16">
        <f>IF(G45&gt;0,(G45-H45)/G45*100,0)</f>
        <v/>
      </c>
      <c r="K45" s="23">
        <f>SUM(K34:K44)</f>
        <v/>
      </c>
      <c r="L45" s="23">
        <f>SUM(L34:L44)</f>
        <v/>
      </c>
    </row>
    <row r="48">
      <c r="A48" s="20" t="inlineStr">
        <is>
          <t>Section C: 2-Year Cost Projection</t>
        </is>
      </c>
    </row>
    <row r="49">
      <c r="A49" s="4" t="inlineStr">
        <is>
          <t>Cost Category</t>
        </is>
      </c>
      <c r="B49" s="4" t="inlineStr">
        <is>
          <t>Year 1 ($)</t>
        </is>
      </c>
      <c r="C49" s="4" t="inlineStr">
        <is>
          <t>Year 2 ($)</t>
        </is>
      </c>
      <c r="D49" s="4" t="inlineStr">
        <is>
          <t>2-Year Total ($)</t>
        </is>
      </c>
      <c r="E49" s="4" t="inlineStr">
        <is>
          <t>Notes</t>
        </is>
      </c>
    </row>
    <row r="50">
      <c r="A50" s="5" t="inlineStr">
        <is>
          <t>Migration Labor (AI Accelerated)</t>
        </is>
      </c>
      <c r="B50" s="22">
        <f>H45</f>
        <v/>
      </c>
      <c r="C50" s="22">
        <f>H45*0.15</f>
        <v/>
      </c>
      <c r="D50" s="22">
        <f>B50+C50</f>
        <v/>
      </c>
      <c r="E50" s="5" t="inlineStr">
        <is>
          <t>Year 2 = 15% steady-state</t>
        </is>
      </c>
    </row>
    <row r="51">
      <c r="A51" s="5" t="inlineStr">
        <is>
          <t>Cloud Infrastructure (App-Level Only)</t>
        </is>
      </c>
      <c r="B51" s="22">
        <f>K45*12</f>
        <v/>
      </c>
      <c r="C51" s="22">
        <f>K45*12*0.85</f>
        <v/>
      </c>
      <c r="D51" s="22">
        <f>B51+C51</f>
        <v/>
      </c>
      <c r="E51" s="5" t="inlineStr">
        <is>
          <t>PG&amp;E bears LZ/network; app-level only</t>
        </is>
      </c>
    </row>
    <row r="52">
      <c r="A52" s="5" t="inlineStr">
        <is>
          <t>AI Platform License</t>
        </is>
      </c>
      <c r="B52" s="22" t="n">
        <v>48000</v>
      </c>
      <c r="C52" s="22" t="n">
        <v>48000</v>
      </c>
      <c r="D52" s="22">
        <f>B52+C52</f>
        <v/>
      </c>
      <c r="E52" s="5" t="inlineStr">
        <is>
          <t>AWS Transform+Kiro enterprise</t>
        </is>
      </c>
    </row>
    <row r="53">
      <c r="A53" s="5" t="inlineStr">
        <is>
          <t>Tooling &amp; 3rd Party</t>
        </is>
      </c>
      <c r="B53" s="22" t="n">
        <v>25000</v>
      </c>
      <c r="C53" s="22" t="n">
        <v>18000</v>
      </c>
      <c r="D53" s="22">
        <f>B53+C53</f>
        <v/>
      </c>
      <c r="E53" s="5" t="inlineStr">
        <is>
          <t>DMS, Terraform Cloud, etc.</t>
        </is>
      </c>
    </row>
    <row r="54">
      <c r="A54" s="5" t="inlineStr">
        <is>
          <t>Training &amp; Enablement</t>
        </is>
      </c>
      <c r="B54" s="22" t="n">
        <v>20000</v>
      </c>
      <c r="C54" s="22" t="n">
        <v>8000</v>
      </c>
      <c r="D54" s="22">
        <f>B54+C54</f>
        <v/>
      </c>
      <c r="E54" s="5" t="inlineStr">
        <is>
          <t>All 4 teams</t>
        </is>
      </c>
    </row>
    <row r="55">
      <c r="A55" s="5" t="inlineStr">
        <is>
          <t>CyberSec &amp; Compliance</t>
        </is>
      </c>
      <c r="B55" s="22" t="n">
        <v>35000</v>
      </c>
      <c r="C55" s="22" t="n">
        <v>25000</v>
      </c>
      <c r="D55" s="22">
        <f>B55+C55</f>
        <v/>
      </c>
      <c r="E55" s="5" t="inlineStr">
        <is>
          <t>NERC CIP ongoing</t>
        </is>
      </c>
    </row>
    <row r="56">
      <c r="A56" s="5" t="inlineStr">
        <is>
          <t>Vuln Mgmt Tooling (Nessus/Qualys)</t>
        </is>
      </c>
      <c r="B56" s="22" t="n">
        <v>18000</v>
      </c>
      <c r="C56" s="22" t="n">
        <v>18000</v>
      </c>
      <c r="D56" s="22">
        <f>B56+C56</f>
        <v/>
      </c>
      <c r="E56" s="5" t="inlineStr">
        <is>
          <t>Annual vuln scanner license</t>
        </is>
      </c>
    </row>
    <row r="57">
      <c r="A57" s="5" t="inlineStr">
        <is>
          <t>Contingency (12%)</t>
        </is>
      </c>
      <c r="B57" s="22">
        <f>SUM(B50:B56)*0.12</f>
        <v/>
      </c>
      <c r="C57" s="22">
        <f>SUM(C50:C56)*0.12</f>
        <v/>
      </c>
      <c r="D57" s="22">
        <f>B57+C57</f>
        <v/>
      </c>
      <c r="E57" s="5" t="inlineStr">
        <is>
          <t>4273-server migration buffer</t>
        </is>
      </c>
    </row>
    <row r="58">
      <c r="A58" s="15" t="inlineStr">
        <is>
          <t>GRAND TOTAL (2 YEARS)</t>
        </is>
      </c>
      <c r="B58" s="23">
        <f>SUM(B50:B57)</f>
        <v/>
      </c>
      <c r="C58" s="23">
        <f>SUM(C50:C57)</f>
        <v/>
      </c>
      <c r="D58" s="23">
        <f>B58+C58</f>
        <v/>
      </c>
      <c r="E58" s="15" t="n"/>
    </row>
    <row r="60">
      <c r="A60" s="25" t="inlineStr">
        <is>
          <t>Traditional Cost (2 Years - No AI)</t>
        </is>
      </c>
      <c r="B60" s="26">
        <f>G45+G45*0.25</f>
        <v/>
      </c>
      <c r="C60" s="5" t="n"/>
      <c r="D60" s="5" t="n"/>
      <c r="E60" s="5" t="inlineStr">
        <is>
          <t>Trad labor + 25% Year 2</t>
        </is>
      </c>
    </row>
    <row r="61">
      <c r="A61" s="17" t="inlineStr">
        <is>
          <t>NET SAVINGS WITH AI</t>
        </is>
      </c>
      <c r="B61" s="27">
        <f>B60-D58</f>
        <v/>
      </c>
      <c r="C61" s="18">
        <f>IF(B60&gt;0,B61/B60*100,0)</f>
        <v/>
      </c>
      <c r="D61" s="17" t="inlineStr">
        <is>
          <t>% Savings</t>
        </is>
      </c>
      <c r="E61" s="17" t="n"/>
    </row>
  </sheetData>
  <mergeCells count="5">
    <mergeCell ref="A2:L2"/>
    <mergeCell ref="A48:E48"/>
    <mergeCell ref="A1:L1"/>
    <mergeCell ref="A32:L3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28" t="inlineStr">
        <is>
          <t>PG&amp;E Migration - Executive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Total Applications</t>
        </is>
      </c>
      <c r="B4" s="5" t="n">
        <v>415</v>
      </c>
    </row>
    <row r="5">
      <c r="A5" s="5" t="inlineStr">
        <is>
          <t>Total Servers</t>
        </is>
      </c>
      <c r="B5" s="5" t="n">
        <v>4273</v>
      </c>
    </row>
    <row r="6">
      <c r="A6" s="5" t="inlineStr">
        <is>
          <t>Traditional Duration - AWS (Days)</t>
        </is>
      </c>
      <c r="B6" s="5">
        <f>'Migration Activities'!E66</f>
        <v/>
      </c>
    </row>
    <row r="7">
      <c r="A7" s="5" t="inlineStr">
        <is>
          <t>AI-Accelerated Duration - AWS (Days)</t>
        </is>
      </c>
      <c r="B7" s="5">
        <f>'Migration Activities'!F66</f>
        <v/>
      </c>
    </row>
    <row r="8">
      <c r="A8" s="5" t="inlineStr">
        <is>
          <t>Time Saved % - AWS</t>
        </is>
      </c>
      <c r="B8" s="5">
        <f>'Migration Activities'!G66</f>
        <v/>
      </c>
    </row>
    <row r="9">
      <c r="A9" s="5" t="inlineStr">
        <is>
          <t>Traditional Migration Cost ($)</t>
        </is>
      </c>
      <c r="B9" s="22">
        <f>'Cost Estimation'!G45</f>
        <v/>
      </c>
    </row>
    <row r="10">
      <c r="A10" s="5" t="inlineStr">
        <is>
          <t>AI-Accelerated Cost ($)</t>
        </is>
      </c>
      <c r="B10" s="22">
        <f>'Cost Estimation'!L45</f>
        <v/>
      </c>
    </row>
    <row r="11">
      <c r="A11" s="5" t="inlineStr">
        <is>
          <t>2-Year Grand Total ($)</t>
        </is>
      </c>
      <c r="B11" s="22">
        <f>'Cost Estimation'!D58</f>
        <v/>
      </c>
    </row>
    <row r="12">
      <c r="A12" s="5" t="inlineStr">
        <is>
          <t>Net Savings vs Traditional ($)</t>
        </is>
      </c>
      <c r="B12" s="22">
        <f>'Cost Estimation'!B61</f>
        <v/>
      </c>
    </row>
    <row r="13">
      <c r="A13" s="5" t="inlineStr">
        <is>
          <t>Total FTEs</t>
        </is>
      </c>
      <c r="B13" s="5">
        <f>'Cost Estimation'!F29</f>
        <v/>
      </c>
    </row>
    <row r="16">
      <c r="A16" s="29" t="inlineStr">
        <is>
          <t>Key: AI Days = Traditional Days x AI Factor (from AI Assumptions tab)</t>
        </is>
      </c>
    </row>
    <row r="17">
      <c r="A17" s="30" t="inlineStr">
        <is>
          <t>Change any yellow cell to model different scenarios. All formulas auto-update.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8" customWidth="1" min="17" max="17"/>
    <col width="25" customWidth="1" min="18" max="18"/>
  </cols>
  <sheetData>
    <row r="1">
      <c r="A1" s="31" t="inlineStr">
        <is>
          <t>PG&amp;E Cloud Migration — Executive Dashboard</t>
        </is>
      </c>
    </row>
    <row r="2">
      <c r="A2" s="32" t="inlineStr">
        <is>
          <t>415 Applications | 4,273 Servers | 5 Teams | AI-Accelerated with AWS Transform+Kiro</t>
        </is>
      </c>
    </row>
    <row r="4">
      <c r="A4" s="33" t="inlineStr">
        <is>
          <t>Duration Comparison (Days)</t>
        </is>
      </c>
      <c r="Q4" s="34" t="inlineStr">
        <is>
          <t>KEY METRICS</t>
        </is>
      </c>
    </row>
    <row r="5">
      <c r="A5" s="4" t="inlineStr">
        <is>
          <t>Platform</t>
        </is>
      </c>
      <c r="B5" s="4" t="inlineStr">
        <is>
          <t>Traditional</t>
        </is>
      </c>
      <c r="C5" s="4" t="inlineStr">
        <is>
          <t>AI-Accelerated</t>
        </is>
      </c>
      <c r="D5" s="4" t="inlineStr">
        <is>
          <t>Days Saved</t>
        </is>
      </c>
      <c r="Q5" s="35" t="inlineStr">
        <is>
          <t>Applications</t>
        </is>
      </c>
      <c r="R5" s="36" t="n">
        <v>415</v>
      </c>
    </row>
    <row r="6">
      <c r="A6" s="5" t="inlineStr">
        <is>
          <t>AWS (107 apps)</t>
        </is>
      </c>
      <c r="B6" s="5">
        <f>'Migration Activities'!E66</f>
        <v/>
      </c>
      <c r="C6" s="5">
        <f>'Migration Activities'!F66</f>
        <v/>
      </c>
      <c r="D6" s="5">
        <f>B6-C6</f>
        <v/>
      </c>
      <c r="Q6" s="35" t="inlineStr">
        <is>
          <t>Servers</t>
        </is>
      </c>
      <c r="R6" s="36" t="inlineStr">
        <is>
          <t>4,273</t>
        </is>
      </c>
    </row>
    <row r="7">
      <c r="A7" s="5" t="inlineStr">
        <is>
          <t>Azure (145 apps)</t>
        </is>
      </c>
      <c r="B7" s="5">
        <f>'Migration Activities'!H66</f>
        <v/>
      </c>
      <c r="C7" s="5">
        <f>'Migration Activities'!I66</f>
        <v/>
      </c>
      <c r="D7" s="5">
        <f>B7-C7</f>
        <v/>
      </c>
      <c r="Q7" s="35" t="inlineStr">
        <is>
          <t>Target Platforms</t>
        </is>
      </c>
      <c r="R7" s="36" t="inlineStr">
        <is>
          <t>AWS + Azure + AzLocal</t>
        </is>
      </c>
    </row>
    <row r="8">
      <c r="A8" s="5" t="inlineStr">
        <is>
          <t>Azure Local/HV (130 apps)</t>
        </is>
      </c>
      <c r="B8" s="5">
        <f>'Migration Activities'!K66</f>
        <v/>
      </c>
      <c r="C8" s="5">
        <f>'Migration Activities'!L66</f>
        <v/>
      </c>
      <c r="D8" s="5">
        <f>B8-C8</f>
        <v/>
      </c>
      <c r="Q8" s="35" t="inlineStr">
        <is>
          <t>Teams</t>
        </is>
      </c>
      <c r="R8" s="36" t="inlineStr">
        <is>
          <t>CIS CLD + EIT + ADM + IQE</t>
        </is>
      </c>
    </row>
    <row r="9">
      <c r="Q9" s="35" t="inlineStr"/>
      <c r="R9" s="36" t="inlineStr"/>
    </row>
    <row r="10">
      <c r="Q10" s="35" t="inlineStr">
        <is>
          <t>Time Saved (AWS)</t>
        </is>
      </c>
      <c r="R10" s="37">
        <f>'Migration Activities'!G66</f>
        <v/>
      </c>
    </row>
    <row r="11">
      <c r="A11" s="33" t="inlineStr">
        <is>
          <t>Cost Comparison ($)</t>
        </is>
      </c>
      <c r="Q11" s="35" t="inlineStr">
        <is>
          <t>Cost Savings ($)</t>
        </is>
      </c>
      <c r="R11" s="38">
        <f>'Cost Estimation'!B61</f>
        <v/>
      </c>
    </row>
    <row r="12">
      <c r="A12" s="4" t="inlineStr">
        <is>
          <t>Category</t>
        </is>
      </c>
      <c r="B12" s="4" t="inlineStr">
        <is>
          <t>Amount ($)</t>
        </is>
      </c>
      <c r="Q12" s="35" t="inlineStr">
        <is>
          <t>2-Year Investment</t>
        </is>
      </c>
      <c r="R12" s="39">
        <f>'Cost Estimation'!D58</f>
        <v/>
      </c>
    </row>
    <row r="13">
      <c r="A13" s="5" t="inlineStr">
        <is>
          <t>Traditional Migration (2yr)</t>
        </is>
      </c>
      <c r="B13" s="22">
        <f>'Cost Estimation'!B60</f>
        <v/>
      </c>
      <c r="Q13" s="35" t="inlineStr">
        <is>
          <t>Total FTEs</t>
        </is>
      </c>
      <c r="R13" s="36">
        <f>'Cost Estimation'!F29</f>
        <v/>
      </c>
    </row>
    <row r="14">
      <c r="A14" s="5" t="inlineStr">
        <is>
          <t>AI-Accelerated (2yr Grand Total)</t>
        </is>
      </c>
      <c r="B14" s="22">
        <f>'Cost Estimation'!D58</f>
        <v/>
      </c>
      <c r="Q14" s="35" t="inlineStr"/>
      <c r="R14" s="36" t="inlineStr"/>
    </row>
    <row r="15">
      <c r="A15" s="40" t="inlineStr">
        <is>
          <t>Net Savings</t>
        </is>
      </c>
      <c r="B15" s="41">
        <f>'Cost Estimation'!B61</f>
        <v/>
      </c>
      <c r="Q15" s="35" t="inlineStr">
        <is>
          <t>PG&amp;E Provides</t>
        </is>
      </c>
      <c r="R15" s="36" t="inlineStr">
        <is>
          <t>LZ + Network + Infra</t>
        </is>
      </c>
    </row>
    <row r="16">
      <c r="Q16" s="35" t="inlineStr">
        <is>
          <t>Infosys Delivers</t>
        </is>
      </c>
      <c r="R16" s="36" t="inlineStr">
        <is>
          <t>Migration + Modernization</t>
        </is>
      </c>
    </row>
    <row r="17">
      <c r="Q17" s="35" t="inlineStr">
        <is>
          <t>AI Accelerator</t>
        </is>
      </c>
      <c r="R17" s="36" t="inlineStr">
        <is>
          <t>AWS Transform+Kiro</t>
        </is>
      </c>
    </row>
    <row r="18">
      <c r="A18" s="33" t="inlineStr">
        <is>
          <t>Phase Effort Breakdown (AI Days)</t>
        </is>
      </c>
    </row>
    <row r="19">
      <c r="A19" s="4" t="inlineStr">
        <is>
          <t>Phase</t>
        </is>
      </c>
      <c r="B19" s="4" t="inlineStr">
        <is>
          <t>AI Days</t>
        </is>
      </c>
    </row>
    <row r="20">
      <c r="A20" s="5" t="inlineStr">
        <is>
          <t>Discovery</t>
        </is>
      </c>
      <c r="B20" s="5">
        <f>'Cost Estimation'!D34</f>
        <v/>
      </c>
    </row>
    <row r="21">
      <c r="A21" s="5" t="inlineStr">
        <is>
          <t>Planning</t>
        </is>
      </c>
      <c r="B21" s="5">
        <f>'Cost Estimation'!D35</f>
        <v/>
      </c>
    </row>
    <row r="22">
      <c r="A22" s="5" t="inlineStr">
        <is>
          <t>Build</t>
        </is>
      </c>
      <c r="B22" s="5">
        <f>'Cost Estimation'!D36</f>
        <v/>
      </c>
    </row>
    <row r="23">
      <c r="A23" s="5" t="inlineStr">
        <is>
          <t>Rehost Exec</t>
        </is>
      </c>
      <c r="B23" s="5">
        <f>'Cost Estimation'!D37</f>
        <v/>
      </c>
    </row>
    <row r="24">
      <c r="A24" s="5" t="inlineStr">
        <is>
          <t>Containerize Exec</t>
        </is>
      </c>
      <c r="B24" s="5">
        <f>'Cost Estimation'!D38</f>
        <v/>
      </c>
    </row>
    <row r="25">
      <c r="A25" s="5" t="inlineStr">
        <is>
          <t>Other Exec</t>
        </is>
      </c>
      <c r="B25" s="5">
        <f>'Cost Estimation'!D39</f>
        <v/>
      </c>
    </row>
    <row r="26">
      <c r="A26" s="5" t="inlineStr">
        <is>
          <t>FR Testing</t>
        </is>
      </c>
      <c r="B26" s="5">
        <f>'Cost Estimation'!D40</f>
        <v/>
      </c>
    </row>
    <row r="27">
      <c r="A27" s="5" t="inlineStr">
        <is>
          <t>NFR Testing</t>
        </is>
      </c>
      <c r="B27" s="5">
        <f>'Cost Estimation'!D41</f>
        <v/>
      </c>
    </row>
    <row r="28">
      <c r="A28" s="5" t="inlineStr">
        <is>
          <t>Security/UAT</t>
        </is>
      </c>
      <c r="B28" s="5">
        <f>'Cost Estimation'!D42</f>
        <v/>
      </c>
    </row>
    <row r="29">
      <c r="A29" s="5" t="inlineStr">
        <is>
          <t>Vuln Mgmt</t>
        </is>
      </c>
      <c r="B29" s="5">
        <f>'Cost Estimation'!D43</f>
        <v/>
      </c>
    </row>
    <row r="30">
      <c r="A30" s="5" t="inlineStr">
        <is>
          <t>Optimize</t>
        </is>
      </c>
      <c r="B30" s="5">
        <f>'Cost Estimation'!D44</f>
        <v/>
      </c>
    </row>
    <row r="34">
      <c r="A34" s="33" t="inlineStr">
        <is>
          <t>Team FTE Allocation</t>
        </is>
      </c>
    </row>
    <row r="35">
      <c r="A35" s="4" t="inlineStr">
        <is>
          <t>Team</t>
        </is>
      </c>
      <c r="B35" s="4" t="inlineStr">
        <is>
          <t>FTEs</t>
        </is>
      </c>
    </row>
    <row r="36">
      <c r="A36" s="5" t="inlineStr">
        <is>
          <t>CIS CLD (Rehost/Replatform)</t>
        </is>
      </c>
      <c r="B36" s="5" t="n">
        <v>17</v>
      </c>
    </row>
    <row r="37">
      <c r="A37" s="5" t="inlineStr">
        <is>
          <t>CIS EIT (Azure Local/HyperV)</t>
        </is>
      </c>
      <c r="B37" s="5" t="n">
        <v>5</v>
      </c>
    </row>
    <row r="38">
      <c r="A38" s="5" t="inlineStr">
        <is>
          <t>ADM (Containerize/Framework)</t>
        </is>
      </c>
      <c r="B38" s="5" t="n">
        <v>15</v>
      </c>
    </row>
    <row r="39">
      <c r="A39" s="5" t="inlineStr">
        <is>
          <t>IQE (Testing)</t>
        </is>
      </c>
      <c r="B39" s="5" t="n">
        <v>9</v>
      </c>
    </row>
    <row r="40">
      <c r="A40" s="5" t="inlineStr">
        <is>
          <t>CyberSec (Security/VulnMgmt)</t>
        </is>
      </c>
      <c r="B40" s="5" t="n">
        <v>4</v>
      </c>
    </row>
    <row r="41">
      <c r="A41" s="5" t="inlineStr">
        <is>
          <t>FinOps</t>
        </is>
      </c>
      <c r="B41" s="5" t="n">
        <v>1</v>
      </c>
    </row>
    <row r="52">
      <c r="A52" s="33" t="inlineStr">
        <is>
          <t>App Distribution by Journey</t>
        </is>
      </c>
      <c r="C52" s="33" t="inlineStr">
        <is>
          <t>Servers by Platform</t>
        </is>
      </c>
    </row>
    <row r="53">
      <c r="A53" s="4" t="inlineStr">
        <is>
          <t>Journey</t>
        </is>
      </c>
      <c r="B53" s="4" t="inlineStr">
        <is>
          <t>Apps</t>
        </is>
      </c>
      <c r="C53" s="42" t="inlineStr">
        <is>
          <t>Platform</t>
        </is>
      </c>
      <c r="D53" s="42" t="inlineStr">
        <is>
          <t>Servers</t>
        </is>
      </c>
    </row>
    <row r="54">
      <c r="A54" s="5" t="inlineStr">
        <is>
          <t>Lift-and-Shift</t>
        </is>
      </c>
      <c r="B54" s="5" t="n">
        <v>179</v>
      </c>
      <c r="C54" s="5" t="inlineStr">
        <is>
          <t>AWS</t>
        </is>
      </c>
      <c r="D54" s="5" t="n">
        <v>719</v>
      </c>
    </row>
    <row r="55">
      <c r="A55" s="5" t="inlineStr">
        <is>
          <t>Containerize</t>
        </is>
      </c>
      <c r="B55" s="5" t="n">
        <v>159</v>
      </c>
      <c r="C55" s="5" t="inlineStr">
        <is>
          <t>Azure</t>
        </is>
      </c>
      <c r="D55" s="5" t="n">
        <v>852</v>
      </c>
    </row>
    <row r="56">
      <c r="A56" s="5" t="inlineStr">
        <is>
          <t>TBD</t>
        </is>
      </c>
      <c r="B56" s="5" t="n">
        <v>31</v>
      </c>
      <c r="C56" s="5" t="inlineStr">
        <is>
          <t>Azure Local</t>
        </is>
      </c>
      <c r="D56" s="5" t="n">
        <v>1295</v>
      </c>
    </row>
    <row r="57">
      <c r="A57" s="5" t="inlineStr">
        <is>
          <t>Retire</t>
        </is>
      </c>
      <c r="B57" s="5" t="n">
        <v>24</v>
      </c>
      <c r="C57" s="5" t="inlineStr">
        <is>
          <t>HyperV</t>
        </is>
      </c>
      <c r="D57" s="5" t="n">
        <v>356</v>
      </c>
    </row>
    <row r="58">
      <c r="A58" s="5" t="inlineStr">
        <is>
          <t>Framework Replace</t>
        </is>
      </c>
      <c r="B58" s="5" t="n">
        <v>17</v>
      </c>
      <c r="C58" s="5" t="inlineStr">
        <is>
          <t>Physical</t>
        </is>
      </c>
      <c r="D58" s="5" t="n">
        <v>164</v>
      </c>
    </row>
    <row r="59">
      <c r="A59" s="5" t="inlineStr">
        <is>
          <t>Fresh Install/Transform</t>
        </is>
      </c>
      <c r="B59" s="5" t="n">
        <v>5</v>
      </c>
      <c r="C59" s="5" t="inlineStr">
        <is>
          <t>SaaS/PaaS</t>
        </is>
      </c>
      <c r="D59" s="5" t="n">
        <v>126</v>
      </c>
    </row>
    <row r="60">
      <c r="A60" s="5" t="n"/>
      <c r="B60" s="5" t="n"/>
      <c r="C60" s="5" t="inlineStr">
        <is>
          <t>TBD</t>
        </is>
      </c>
      <c r="D60" s="5" t="n">
        <v>761</v>
      </c>
    </row>
  </sheetData>
  <mergeCells count="3">
    <mergeCell ref="A2:R2"/>
    <mergeCell ref="Q4:R4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3" t="inlineStr">
        <is>
          <t>PG&amp;E Migration — Team-wise FTE, Cost &amp; Revenue Breakdown</t>
        </is>
      </c>
    </row>
    <row r="2">
      <c r="A2" s="2" t="inlineStr">
        <is>
          <t>All values formula-driven from Cost Estimation tab | Yellow = adjustable inputs | Margin % adjustable per team</t>
        </is>
      </c>
    </row>
    <row r="4">
      <c r="A4" s="20" t="inlineStr">
        <is>
          <t>Section A: Team FTE &amp; Monthly/Annual Cost (from Cost Estimation Rate Card)</t>
        </is>
      </c>
    </row>
    <row r="5" ht="40" customHeight="1">
      <c r="A5" s="4" t="inlineStr">
        <is>
          <t>Team</t>
        </is>
      </c>
      <c r="B5" s="4" t="inlineStr">
        <is>
          <t>Roles</t>
        </is>
      </c>
      <c r="C5" s="4" t="inlineStr">
        <is>
          <t>Total FTEs</t>
        </is>
      </c>
      <c r="D5" s="4" t="inlineStr">
        <is>
          <t>Avg Hourly
Rate ($)</t>
        </is>
      </c>
      <c r="E5" s="4" t="inlineStr">
        <is>
          <t>Monthly Cost ($)</t>
        </is>
      </c>
      <c r="F5" s="4" t="inlineStr">
        <is>
          <t>Annual Cost ($)</t>
        </is>
      </c>
      <c r="G5" s="4" t="inlineStr">
        <is>
          <t>Scope / Responsibility</t>
        </is>
      </c>
    </row>
    <row r="6" ht="55" customHeight="1">
      <c r="A6" s="44" t="inlineStr">
        <is>
          <t>CIS CLD</t>
        </is>
      </c>
      <c r="B6" s="45" t="inlineStr">
        <is>
          <t>Cloud Migration Lead, Sr. Migration Engineers (4), Migration Engineers (6), DB Specialist (2), DevOps (2), PM</t>
        </is>
      </c>
      <c r="C6" s="46">
        <f>SUM('Cost Estimation'!F6:'Cost Estimation'!F12)</f>
        <v/>
      </c>
      <c r="D6" s="47">
        <f>IF(C6&gt;0,SUMPRODUCT('Cost Estimation'!C6:C12*'Cost Estimation'!F6:F12)/C6,0)</f>
        <v/>
      </c>
      <c r="E6" s="47">
        <f>SUM('Cost Estimation'!G6:'Cost Estimation'!G12)</f>
        <v/>
      </c>
      <c r="F6" s="47">
        <f>SUM('Cost Estimation'!H6:'Cost Estimation'!H12)</f>
        <v/>
      </c>
      <c r="G6" s="45" t="inlineStr">
        <is>
          <t>Rehost, Replatform, DB Migration, Wave Planning on AWS &amp; Azure</t>
        </is>
      </c>
    </row>
    <row r="7" ht="55" customHeight="1">
      <c r="A7" s="48" t="inlineStr">
        <is>
          <t>CIS EIT</t>
        </is>
      </c>
      <c r="B7" s="49" t="inlineStr">
        <is>
          <t>Azure Local/HyperV Lead, Infrastructure Engineers (3)</t>
        </is>
      </c>
      <c r="C7" s="50">
        <f>SUM('Cost Estimation'!F13:'Cost Estimation'!F15)</f>
        <v/>
      </c>
      <c r="D7" s="51">
        <f>IF(C7&gt;0,SUMPRODUCT('Cost Estimation'!C13:C15*'Cost Estimation'!F13:F15)/C7,0)</f>
        <v/>
      </c>
      <c r="E7" s="51">
        <f>SUM('Cost Estimation'!G13:'Cost Estimation'!G15)</f>
        <v/>
      </c>
      <c r="F7" s="51">
        <f>SUM('Cost Estimation'!H13:'Cost Estimation'!H15)</f>
        <v/>
      </c>
      <c r="G7" s="49" t="inlineStr">
        <is>
          <t>Azure Local &amp; HyperV workload onboarding, cluster validation</t>
        </is>
      </c>
    </row>
    <row r="8" ht="55" customHeight="1">
      <c r="A8" s="52" t="inlineStr">
        <is>
          <t>ADM</t>
        </is>
      </c>
      <c r="B8" s="53" t="inlineStr">
        <is>
          <t>App Modernization Lead, Sr. Developers (4), Developers (6), Middleware (2), DevOps K8s (2)</t>
        </is>
      </c>
      <c r="C8" s="54">
        <f>SUM('Cost Estimation'!F16:'Cost Estimation'!F20)</f>
        <v/>
      </c>
      <c r="D8" s="55">
        <f>IF(C8&gt;0,SUMPRODUCT('Cost Estimation'!C16:C20*'Cost Estimation'!F16:F20)/C8,0)</f>
        <v/>
      </c>
      <c r="E8" s="55">
        <f>SUM('Cost Estimation'!G16:'Cost Estimation'!G20)</f>
        <v/>
      </c>
      <c r="F8" s="55">
        <f>SUM('Cost Estimation'!H16:'Cost Estimation'!H20)</f>
        <v/>
      </c>
      <c r="G8" s="53" t="inlineStr">
        <is>
          <t>Containerization (159 apps), .Net/Java upgrades, Middleware migration</t>
        </is>
      </c>
    </row>
    <row r="9" ht="55" customHeight="1">
      <c r="A9" s="56" t="inlineStr">
        <is>
          <t>IQE</t>
        </is>
      </c>
      <c r="B9" s="57" t="inlineStr">
        <is>
          <t>Test Lead, SR Test Engineers FR (3), Perf NFR (2), Security (1), Automation (2)</t>
        </is>
      </c>
      <c r="C9" s="58">
        <f>SUM('Cost Estimation'!F21:'Cost Estimation'!F25)</f>
        <v/>
      </c>
      <c r="D9" s="59">
        <f>IF(C9&gt;0,SUMPRODUCT('Cost Estimation'!C21:C25*'Cost Estimation'!F21:F25)/C9,0)</f>
        <v/>
      </c>
      <c r="E9" s="59">
        <f>SUM('Cost Estimation'!G21:'Cost Estimation'!G25)</f>
        <v/>
      </c>
      <c r="F9" s="59">
        <f>SUM('Cost Estimation'!H21:'Cost Estimation'!H25)</f>
        <v/>
      </c>
      <c r="G9" s="57" t="inlineStr">
        <is>
          <t>FR Testing 60%, NFR Testing 30%, Security Testing, UAT coordination</t>
        </is>
      </c>
    </row>
    <row r="10" ht="55" customHeight="1">
      <c r="A10" s="60" t="inlineStr">
        <is>
          <t>CyberSec
(Vuln Mgmt)</t>
        </is>
      </c>
      <c r="B10" s="61" t="inlineStr">
        <is>
          <t>Security Analyst, Vuln Mgmt Engineers (2)</t>
        </is>
      </c>
      <c r="C10" s="62">
        <f>SUM('Cost Estimation'!F26:'Cost Estimation'!F27)</f>
        <v/>
      </c>
      <c r="D10" s="63">
        <f>IF(C10&gt;0,SUMPRODUCT('Cost Estimation'!C26:C27*'Cost Estimation'!F26:F27)/C10,0)</f>
        <v/>
      </c>
      <c r="E10" s="63">
        <f>SUM('Cost Estimation'!G26:'Cost Estimation'!G27)</f>
        <v/>
      </c>
      <c r="F10" s="63">
        <f>SUM('Cost Estimation'!H26:'Cost Estimation'!H27)</f>
        <v/>
      </c>
      <c r="G10" s="61" t="inlineStr">
        <is>
          <t>Vulnerability scanning, remediation, patching, compliance, NERC CIP</t>
        </is>
      </c>
    </row>
    <row r="11">
      <c r="A11" s="36" t="inlineStr">
        <is>
          <t>FinOps</t>
        </is>
      </c>
      <c r="B11" s="5" t="inlineStr">
        <is>
          <t>FinOps Analyst</t>
        </is>
      </c>
      <c r="C11" s="5">
        <f>'Cost Estimation'!F28</f>
        <v/>
      </c>
      <c r="D11" s="22">
        <f>'Cost Estimation'!C28</f>
        <v/>
      </c>
      <c r="E11" s="22">
        <f>'Cost Estimation'!G28</f>
        <v/>
      </c>
      <c r="F11" s="22">
        <f>'Cost Estimation'!H28</f>
        <v/>
      </c>
      <c r="G11" s="5" t="inlineStr">
        <is>
          <t>Cost optimization, RI/SP recommendations</t>
        </is>
      </c>
    </row>
    <row r="12">
      <c r="A12" s="15" t="inlineStr">
        <is>
          <t>TOTAL</t>
        </is>
      </c>
      <c r="B12" s="15" t="n"/>
      <c r="C12" s="15">
        <f>SUM(C6:C11)</f>
        <v/>
      </c>
      <c r="D12" s="15" t="n"/>
      <c r="E12" s="23">
        <f>SUM(E6:E11)</f>
        <v/>
      </c>
      <c r="F12" s="23">
        <f>SUM(F6:F11)</f>
        <v/>
      </c>
      <c r="G12" s="15" t="n"/>
    </row>
    <row r="15">
      <c r="A15" s="20" t="inlineStr">
        <is>
          <t>Section B: Team-wise 2-Year Revenue Model (Margin-Adjustable)</t>
        </is>
      </c>
    </row>
    <row r="16" ht="42" customHeight="1">
      <c r="A16" s="4" t="inlineStr">
        <is>
          <t>Team</t>
        </is>
      </c>
      <c r="B16" s="4" t="inlineStr">
        <is>
          <t>FTEs</t>
        </is>
      </c>
      <c r="C16" s="4" t="inlineStr">
        <is>
          <t>Year 1
Duration (Mo)</t>
        </is>
      </c>
      <c r="D16" s="4" t="inlineStr">
        <is>
          <t>Year 1
Cost ($)</t>
        </is>
      </c>
      <c r="E16" s="4" t="inlineStr">
        <is>
          <t>Year 2
Duration (Mo)</t>
        </is>
      </c>
      <c r="F16" s="4" t="inlineStr">
        <is>
          <t>Year 2
Cost ($)</t>
        </is>
      </c>
      <c r="G16" s="4" t="inlineStr">
        <is>
          <t>2-Year
Total Cost ($)</t>
        </is>
      </c>
      <c r="H16" s="4" t="inlineStr">
        <is>
          <t>Margin %
(Adjust)</t>
        </is>
      </c>
      <c r="I16" s="4" t="inlineStr">
        <is>
          <t>Year 1
Revenue ($)</t>
        </is>
      </c>
      <c r="J16" s="4" t="inlineStr">
        <is>
          <t>Year 2
Revenue ($)</t>
        </is>
      </c>
      <c r="K16" s="4" t="inlineStr">
        <is>
          <t>2-Year
Revenue ($)</t>
        </is>
      </c>
      <c r="L16" s="4" t="inlineStr">
        <is>
          <t>% of Total
Revenue</t>
        </is>
      </c>
    </row>
    <row r="17">
      <c r="A17" s="44" t="inlineStr">
        <is>
          <t>CIS CLD</t>
        </is>
      </c>
      <c r="B17" s="46">
        <f>C6</f>
        <v/>
      </c>
      <c r="C17" s="7" t="n">
        <v>12</v>
      </c>
      <c r="D17" s="47">
        <f>E6*C17</f>
        <v/>
      </c>
      <c r="E17" s="7" t="n">
        <v>3</v>
      </c>
      <c r="F17" s="47">
        <f>E6*E17</f>
        <v/>
      </c>
      <c r="G17" s="47">
        <f>D17+F17</f>
        <v/>
      </c>
      <c r="H17" s="6" t="n">
        <v>0.25</v>
      </c>
      <c r="I17" s="47">
        <f>D17/(1-H17)</f>
        <v/>
      </c>
      <c r="J17" s="47">
        <f>F17/(1-H17)</f>
        <v/>
      </c>
      <c r="K17" s="47">
        <f>I17+J17</f>
        <v/>
      </c>
      <c r="L17" s="64">
        <f>IF(K23&gt;0,K17/K23,0)</f>
        <v/>
      </c>
    </row>
    <row r="18">
      <c r="A18" s="48" t="inlineStr">
        <is>
          <t>CIS EIT</t>
        </is>
      </c>
      <c r="B18" s="50">
        <f>C7</f>
        <v/>
      </c>
      <c r="C18" s="7" t="n">
        <v>10</v>
      </c>
      <c r="D18" s="51">
        <f>E7*C18</f>
        <v/>
      </c>
      <c r="E18" s="7" t="n">
        <v>2</v>
      </c>
      <c r="F18" s="51">
        <f>E7*E18</f>
        <v/>
      </c>
      <c r="G18" s="51">
        <f>D18+F18</f>
        <v/>
      </c>
      <c r="H18" s="6" t="n">
        <v>0.25</v>
      </c>
      <c r="I18" s="51">
        <f>D18/(1-H18)</f>
        <v/>
      </c>
      <c r="J18" s="51">
        <f>F18/(1-H18)</f>
        <v/>
      </c>
      <c r="K18" s="51">
        <f>I18+J18</f>
        <v/>
      </c>
      <c r="L18" s="65">
        <f>IF(K23&gt;0,K18/K23,0)</f>
        <v/>
      </c>
    </row>
    <row r="19">
      <c r="A19" s="52" t="inlineStr">
        <is>
          <t>ADM</t>
        </is>
      </c>
      <c r="B19" s="54">
        <f>C8</f>
        <v/>
      </c>
      <c r="C19" s="7" t="n">
        <v>12</v>
      </c>
      <c r="D19" s="55">
        <f>E8*C19</f>
        <v/>
      </c>
      <c r="E19" s="7" t="n">
        <v>3</v>
      </c>
      <c r="F19" s="55">
        <f>E8*E19</f>
        <v/>
      </c>
      <c r="G19" s="55">
        <f>D19+F19</f>
        <v/>
      </c>
      <c r="H19" s="6" t="n">
        <v>0.25</v>
      </c>
      <c r="I19" s="55">
        <f>D19/(1-H19)</f>
        <v/>
      </c>
      <c r="J19" s="55">
        <f>F19/(1-H19)</f>
        <v/>
      </c>
      <c r="K19" s="55">
        <f>I19+J19</f>
        <v/>
      </c>
      <c r="L19" s="66">
        <f>IF(K23&gt;0,K19/K23,0)</f>
        <v/>
      </c>
    </row>
    <row r="20">
      <c r="A20" s="56" t="inlineStr">
        <is>
          <t>IQE</t>
        </is>
      </c>
      <c r="B20" s="58">
        <f>C9</f>
        <v/>
      </c>
      <c r="C20" s="7" t="n">
        <v>10</v>
      </c>
      <c r="D20" s="59">
        <f>E9*C20</f>
        <v/>
      </c>
      <c r="E20" s="7" t="n">
        <v>2</v>
      </c>
      <c r="F20" s="59">
        <f>E9*E20</f>
        <v/>
      </c>
      <c r="G20" s="59">
        <f>D20+F20</f>
        <v/>
      </c>
      <c r="H20" s="6" t="n">
        <v>0.22</v>
      </c>
      <c r="I20" s="59">
        <f>D20/(1-H20)</f>
        <v/>
      </c>
      <c r="J20" s="59">
        <f>F20/(1-H20)</f>
        <v/>
      </c>
      <c r="K20" s="59">
        <f>I20+J20</f>
        <v/>
      </c>
      <c r="L20" s="67">
        <f>IF(K23&gt;0,K20/K23,0)</f>
        <v/>
      </c>
    </row>
    <row r="21">
      <c r="A21" s="60" t="inlineStr">
        <is>
          <t>CyberSec (Vuln Mgmt)</t>
        </is>
      </c>
      <c r="B21" s="62">
        <f>C10</f>
        <v/>
      </c>
      <c r="C21" s="7" t="n">
        <v>12</v>
      </c>
      <c r="D21" s="63">
        <f>E10*C21</f>
        <v/>
      </c>
      <c r="E21" s="7" t="n">
        <v>6</v>
      </c>
      <c r="F21" s="63">
        <f>E10*E21</f>
        <v/>
      </c>
      <c r="G21" s="63">
        <f>D21+F21</f>
        <v/>
      </c>
      <c r="H21" s="6" t="n">
        <v>0.28</v>
      </c>
      <c r="I21" s="63">
        <f>D21/(1-H21)</f>
        <v/>
      </c>
      <c r="J21" s="63">
        <f>F21/(1-H21)</f>
        <v/>
      </c>
      <c r="K21" s="63">
        <f>I21+J21</f>
        <v/>
      </c>
      <c r="L21" s="68">
        <f>IF(K23&gt;0,K21/K23,0)</f>
        <v/>
      </c>
    </row>
    <row r="22">
      <c r="A22" s="69" t="inlineStr">
        <is>
          <t>FinOps</t>
        </is>
      </c>
      <c r="B22" s="70">
        <f>C11</f>
        <v/>
      </c>
      <c r="C22" s="7" t="n">
        <v>8</v>
      </c>
      <c r="D22" s="71">
        <f>E11*C22</f>
        <v/>
      </c>
      <c r="E22" s="7" t="n">
        <v>4</v>
      </c>
      <c r="F22" s="71">
        <f>E11*E22</f>
        <v/>
      </c>
      <c r="G22" s="71">
        <f>D22+F22</f>
        <v/>
      </c>
      <c r="H22" s="6" t="n">
        <v>0.2</v>
      </c>
      <c r="I22" s="71">
        <f>D22/(1-H22)</f>
        <v/>
      </c>
      <c r="J22" s="71">
        <f>F22/(1-H22)</f>
        <v/>
      </c>
      <c r="K22" s="71">
        <f>I22+J22</f>
        <v/>
      </c>
      <c r="L22" s="72">
        <f>IF(K23&gt;0,K22/K23,0)</f>
        <v/>
      </c>
    </row>
    <row r="23">
      <c r="A23" s="15" t="inlineStr">
        <is>
          <t>TOTAL</t>
        </is>
      </c>
      <c r="B23" s="15">
        <f>SUM(B17:B22)</f>
        <v/>
      </c>
      <c r="C23" s="15" t="n"/>
      <c r="D23" s="23">
        <f>SUM(D17:D22)</f>
        <v/>
      </c>
      <c r="E23" s="15" t="n"/>
      <c r="F23" s="23">
        <f>SUM(F17:F22)</f>
        <v/>
      </c>
      <c r="G23" s="23">
        <f>SUM(G17:G22)</f>
        <v/>
      </c>
      <c r="H23" s="15" t="n"/>
      <c r="I23" s="23">
        <f>SUM(I17:I22)</f>
        <v/>
      </c>
      <c r="J23" s="23">
        <f>SUM(J17:J22)</f>
        <v/>
      </c>
      <c r="K23" s="23">
        <f>SUM(K17:K22)</f>
        <v/>
      </c>
      <c r="L23" s="73" t="n">
        <v>1</v>
      </c>
    </row>
    <row r="26">
      <c r="A26" s="20" t="inlineStr">
        <is>
          <t>Section C: Key Revenue Metrics</t>
        </is>
      </c>
    </row>
    <row r="27">
      <c r="A27" s="35" t="inlineStr">
        <is>
          <t>Total 2-Year Cost (All Teams)</t>
        </is>
      </c>
      <c r="B27" s="22">
        <f>G23</f>
        <v/>
      </c>
    </row>
    <row r="28">
      <c r="A28" s="35" t="inlineStr">
        <is>
          <t>Total 2-Year Revenue (All Teams)</t>
        </is>
      </c>
      <c r="B28" s="74">
        <f>K23</f>
        <v/>
      </c>
    </row>
    <row r="29">
      <c r="A29" s="35" t="inlineStr">
        <is>
          <t>Total Gross Margin ($)</t>
        </is>
      </c>
      <c r="B29" s="74">
        <f>K23-G23</f>
        <v/>
      </c>
    </row>
    <row r="30">
      <c r="A30" s="35" t="inlineStr">
        <is>
          <t>Blended Margin %</t>
        </is>
      </c>
      <c r="B30" s="75">
        <f>IF(K23&gt;0,(K23-G23)/K23,0)</f>
        <v/>
      </c>
    </row>
    <row r="31">
      <c r="A31" s="76" t="inlineStr"/>
      <c r="B31" s="5" t="inlineStr"/>
    </row>
    <row r="32">
      <c r="A32" s="35" t="inlineStr">
        <is>
          <t>Largest Team by Revenue</t>
        </is>
      </c>
      <c r="B32" s="77" t="inlineStr">
        <is>
          <t>CIS CLD</t>
        </is>
      </c>
    </row>
    <row r="33">
      <c r="A33" s="35" t="inlineStr">
        <is>
          <t>Largest Team by FTEs</t>
        </is>
      </c>
      <c r="B33" s="5">
        <f>C6</f>
        <v/>
      </c>
    </row>
    <row r="34">
      <c r="A34" s="35" t="inlineStr">
        <is>
          <t>CyberSec/Vuln Mgmt Revenue Share</t>
        </is>
      </c>
      <c r="B34" s="75">
        <f>K21/K23</f>
        <v/>
      </c>
    </row>
    <row r="35">
      <c r="A35" s="35" t="inlineStr">
        <is>
          <t>Total FTEs Deployed</t>
        </is>
      </c>
      <c r="B35" s="5">
        <f>B23</f>
        <v/>
      </c>
    </row>
    <row r="36">
      <c r="A36" s="35" t="inlineStr">
        <is>
          <t>Avg Revenue per FTE (2yr)</t>
        </is>
      </c>
      <c r="B36" s="74">
        <f>IF(B23&gt;0,K23/B23,0)</f>
        <v/>
      </c>
    </row>
  </sheetData>
  <mergeCells count="5">
    <mergeCell ref="A2:L2"/>
    <mergeCell ref="A15:L15"/>
    <mergeCell ref="A1:L1"/>
    <mergeCell ref="A26:F26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40" customWidth="1" min="5" max="5"/>
    <col width="42" customWidth="1" min="6" max="6"/>
    <col width="48" customWidth="1" min="7" max="7"/>
    <col width="30" customWidth="1" min="8" max="8"/>
    <col width="14" customWidth="1" min="9" max="9"/>
    <col width="18" customWidth="1" min="10" max="10"/>
  </cols>
  <sheetData>
    <row r="1">
      <c r="A1" s="43" t="inlineStr">
        <is>
          <t>AWS Transform+Kiro vs Industry Standard — Honest Benchmark Comparison</t>
        </is>
      </c>
    </row>
    <row r="2">
      <c r="A2" s="2" t="inlineStr">
        <is>
          <t>Industry = Generic tooling (AWS Migration Hub + separate SCT + separate Terraform + manual glue) | AWS Native = Integrated AI platform</t>
        </is>
      </c>
    </row>
    <row r="4" ht="50" customHeight="1">
      <c r="A4" s="4" t="inlineStr">
        <is>
          <t>Category</t>
        </is>
      </c>
      <c r="B4" s="4" t="inlineStr">
        <is>
          <t>Industry Std
Savings %</t>
        </is>
      </c>
      <c r="C4" s="4" t="inlineStr">
        <is>
          <t>AWS Native
Savings %</t>
        </is>
      </c>
      <c r="D4" s="4" t="inlineStr">
        <is>
          <t>Delta
(Improvement)</t>
        </is>
      </c>
      <c r="E4" s="4" t="inlineStr">
        <is>
          <t>Industry Standard Approach
(Generic Tools)</t>
        </is>
      </c>
      <c r="F4" s="4" t="inlineStr">
        <is>
          <t>AWS Transform+Kiro Advantage
(What Our Tool Adds)</t>
        </is>
      </c>
      <c r="G4" s="4" t="inlineStr">
        <is>
          <t>Why The Delta
(Honest Assessment)</t>
        </is>
      </c>
      <c r="H4" s="4" t="inlineStr">
        <is>
          <t>Risk if
Overclaimed</t>
        </is>
      </c>
      <c r="I4" s="4" t="inlineStr">
        <is>
          <t>Confidence
Level</t>
        </is>
      </c>
      <c r="J4" s="4" t="inlineStr">
        <is>
          <t>Industry
Reference</t>
        </is>
      </c>
    </row>
    <row r="5" ht="80" customHeight="1">
      <c r="A5" s="78" t="inlineStr">
        <is>
          <t>Infrastructure
Discovery</t>
        </is>
      </c>
      <c r="B5" s="79" t="n">
        <v>0.65</v>
      </c>
      <c r="C5" s="79" t="n">
        <v>0.72</v>
      </c>
      <c r="D5" s="80">
        <f>C5-B5</f>
        <v/>
      </c>
      <c r="E5" s="81" t="inlineStr">
        <is>
          <t>AWS Migration Hub + Azure Migrate run separately; results in 2 spreadsheets that need manual merging for multi-cloud view</t>
        </is>
      </c>
      <c r="F5" s="81" t="inlineStr">
        <is>
          <t>Single-pane discovery across AWS+Azure+AzLocal with unified topology map, 29 component types auto-detected, cross-cloud dependency view</t>
        </is>
      </c>
      <c r="G5" s="81" t="inlineStr">
        <is>
          <t>+7%: Unified multi-cloud view eliminates manual merge of separate tool outputs. For 4273 servers across 3 clouds, this saves 2-3 days of reconciliation per discovery cycle</t>
        </is>
      </c>
      <c r="H5" s="81" t="inlineStr">
        <is>
          <t>Over-claim if PG&amp;E has heavily air-gapped systems that no tool can reach</t>
        </is>
      </c>
      <c r="I5" s="40" t="inlineStr">
        <is>
          <t>High</t>
        </is>
      </c>
      <c r="J5" s="5" t="inlineStr">
        <is>
          <t>Gartner 2024 + internal benchmark</t>
        </is>
      </c>
    </row>
    <row r="6" ht="80" customHeight="1">
      <c r="A6" s="78" t="inlineStr">
        <is>
          <t>App Dependency
Mapping</t>
        </is>
      </c>
      <c r="B6" s="79" t="n">
        <v>0.6</v>
      </c>
      <c r="C6" s="79" t="n">
        <v>0.65</v>
      </c>
      <c r="D6" s="80">
        <f>C6-B6</f>
        <v/>
      </c>
      <c r="E6" s="81" t="inlineStr">
        <is>
          <t>ServiceNow CMDB + Dynatrace/AppDynamics for runtime deps; still misses 30-40% of dependencies requiring manual app-owner interviews</t>
        </is>
      </c>
      <c r="F6" s="81" t="inlineStr">
        <is>
          <t>Network flow tracing + CMDB correlation + AI-powered graph building in one workflow; reduces manual interview rounds from 3 to 1</t>
        </is>
      </c>
      <c r="G6" s="81" t="inlineStr">
        <is>
          <t>+5%: AI graph building catches cross-app patterns that individual tools miss. Conservative delta — dependency mapping is inherently hard regardless of tooling</t>
        </is>
      </c>
      <c r="H6" s="81" t="inlineStr">
        <is>
          <t>Dependency mapping accuracy is never 100%; app owner validation always needed</t>
        </is>
      </c>
      <c r="I6" s="82" t="inlineStr">
        <is>
          <t>Medium</t>
        </is>
      </c>
      <c r="J6" s="5" t="inlineStr">
        <is>
          <t>Gartner 2024</t>
        </is>
      </c>
    </row>
    <row r="7" ht="80" customHeight="1">
      <c r="A7" s="78" t="inlineStr">
        <is>
          <t>Database
Analysis</t>
        </is>
      </c>
      <c r="B7" s="79" t="n">
        <v>0.65</v>
      </c>
      <c r="C7" s="79" t="n">
        <v>0.7</v>
      </c>
      <c r="D7" s="80">
        <f>C7-B7</f>
        <v/>
      </c>
      <c r="E7" s="81" t="inlineStr">
        <is>
          <t>AWS SCT + Azure DMA run separately; conversion reports need manual cross-referencing; no AI-assisted fix suggestions</t>
        </is>
      </c>
      <c r="F7" s="81" t="inlineStr">
        <is>
          <t>DB Remediation Engine runs SCT + provides AI-assisted fix suggestions for unconverted objects; cross-cloud DB compatibility matrix in one view</t>
        </is>
      </c>
      <c r="G7" s="81" t="inlineStr">
        <is>
          <t>+5%: AI-assisted fix suggestions for unconverted stored procs reduce manual effort. SCT still does the heavy lifting — our tool adds the remediation layer</t>
        </is>
      </c>
      <c r="H7" s="81" t="inlineStr">
        <is>
          <t>Complex PL/SQL (PG&amp;E Oracle legacy) may still need DBA manual rewrite regardless</t>
        </is>
      </c>
      <c r="I7" s="83" t="inlineStr">
        <is>
          <t>Medium-High</t>
        </is>
      </c>
      <c r="J7" s="5" t="inlineStr">
        <is>
          <t>AWS SCT docs</t>
        </is>
      </c>
    </row>
    <row r="8" ht="80" customHeight="1">
      <c r="A8" s="78" t="inlineStr">
        <is>
          <t>TCO / Cost
Modeling</t>
        </is>
      </c>
      <c r="B8" s="79" t="n">
        <v>0.7</v>
      </c>
      <c r="C8" s="79" t="n">
        <v>0.75</v>
      </c>
      <c r="D8" s="80">
        <f>C8-B8</f>
        <v/>
      </c>
      <c r="E8" s="81" t="inlineStr">
        <is>
          <t>AWS Pricing Calculator + Azure TCO Calculator run separately; manual Excel consolidation for multi-cloud comparison</t>
        </is>
      </c>
      <c r="F8" s="81" t="inlineStr">
        <is>
          <t>MCP cloud-cost service generates unified multi-cloud TCO from discovery data with live pricing APIs; auto-comparison across AWS/Azure/AzLocal</t>
        </is>
      </c>
      <c r="G8" s="81" t="inlineStr">
        <is>
          <t>+5%: Eliminates manual multi-cloud spreadsheet merging. Auto-links TCO to actual discovered inventory rather than manual input estimates</t>
        </is>
      </c>
      <c r="H8" s="81" t="inlineStr">
        <is>
          <t>EDP/RI negotiation and business assumptions still need stakeholder input regardless</t>
        </is>
      </c>
      <c r="I8" s="40" t="inlineStr">
        <is>
          <t>High</t>
        </is>
      </c>
      <c r="J8" s="5" t="inlineStr">
        <is>
          <t>AWS Pricing + Cobalt</t>
        </is>
      </c>
    </row>
    <row r="9" ht="80" customHeight="1">
      <c r="A9" s="78" t="inlineStr">
        <is>
          <t>Performance
Baseline</t>
        </is>
      </c>
      <c r="B9" s="79" t="n">
        <v>0.7</v>
      </c>
      <c r="C9" s="79" t="n">
        <v>0.7</v>
      </c>
      <c r="D9" s="84">
        <f>C9-B9</f>
        <v/>
      </c>
      <c r="E9" s="81" t="inlineStr">
        <is>
          <t>CloudWatch + Azure Monitor + custom scripts; metric collection well-automated by cloud-native tools</t>
        </is>
      </c>
      <c r="F9" s="81" t="inlineStr">
        <is>
          <t>Aggregates metrics across all 3 clouds in unified baseline dashboard; but cloud-native tools already do this well individually</t>
        </is>
      </c>
      <c r="G9" s="81" t="inlineStr">
        <is>
          <t>0%: No significant delta. Cloud-native monitoring tools are mature. Our value is unified view, not faster collection</t>
        </is>
      </c>
      <c r="H9" s="81" t="inlineStr">
        <is>
          <t>Honest: cloud-native tools are already excellent here</t>
        </is>
      </c>
      <c r="I9" s="40" t="inlineStr">
        <is>
          <t>High</t>
        </is>
      </c>
      <c r="J9" s="5" t="inlineStr">
        <is>
          <t>AWS CloudWatch</t>
        </is>
      </c>
    </row>
    <row r="10" ht="80" customHeight="1">
      <c r="A10" s="78" t="inlineStr">
        <is>
          <t>Compliance &amp;
Security
(NERC CIP)</t>
        </is>
      </c>
      <c r="B10" s="79" t="n">
        <v>0.5</v>
      </c>
      <c r="C10" s="79" t="n">
        <v>0.52</v>
      </c>
      <c r="D10" s="85">
        <f>C10-B10</f>
        <v/>
      </c>
      <c r="E10" s="81" t="inlineStr">
        <is>
          <t>Separate compliance scanning tools (Prisma, Prowler) + manual NERC CIP evidence collection; heavily regulated = heavily manual</t>
        </is>
      </c>
      <c r="F10" s="81" t="inlineStr">
        <is>
          <t>MCP compliance-framework service + guardrails engine scan against frameworks; but NERC CIP evidence collection and regulatory sign-off remain manual regardless</t>
        </is>
      </c>
      <c r="G10" s="81" t="inlineStr">
        <is>
          <t>+2%: Marginal improvement. Compliance for regulated utilities is fundamentally manual-intensive. Our scanning is faster but the bottleneck is human review and regulatory evidence</t>
        </is>
      </c>
      <c r="H10" s="81" t="inlineStr">
        <is>
          <t>DO NOT overclaim here. NERC CIP compliance is 70%+ manual — no tool changes this</t>
        </is>
      </c>
      <c r="I10" s="86" t="inlineStr">
        <is>
          <t>Low</t>
        </is>
      </c>
      <c r="J10" s="5" t="inlineStr">
        <is>
          <t>NERC CIP reqs</t>
        </is>
      </c>
    </row>
    <row r="11" ht="80" customHeight="1">
      <c r="A11" s="78" t="inlineStr">
        <is>
          <t>Wave
Planning</t>
        </is>
      </c>
      <c r="B11" s="79" t="n">
        <v>0.6</v>
      </c>
      <c r="C11" s="79" t="n">
        <v>0.65</v>
      </c>
      <c r="D11" s="80">
        <f>C11-B11</f>
        <v/>
      </c>
      <c r="E11" s="81" t="inlineStr">
        <is>
          <t>Manual wave grouping using dependency data from discovery; spreadsheet-based optimization; stakeholder negotiation is the bottleneck</t>
        </is>
      </c>
      <c r="F11" s="81" t="inlineStr">
        <is>
          <t>Graph-based wave optimizer uses dependency data + risk scoring + parallel simulation; generates optimal wave plan that would take weeks manually</t>
        </is>
      </c>
      <c r="G11" s="81" t="inlineStr">
        <is>
          <t>+5%: Algorithm-optimized wave grouping is genuinely faster than manual spreadsheet analysis. But stakeholder alignment (50% of wave planning effort) is unchanged</t>
        </is>
      </c>
      <c r="H11" s="81" t="inlineStr">
        <is>
          <t>Stakeholder negotiation window constraints cannot be automated</t>
        </is>
      </c>
      <c r="I11" s="83" t="inlineStr">
        <is>
          <t>Medium-High</t>
        </is>
      </c>
      <c r="J11" s="5" t="inlineStr">
        <is>
          <t>McKinsey 2023</t>
        </is>
      </c>
    </row>
    <row r="12" ht="80" customHeight="1">
      <c r="A12" s="78" t="inlineStr">
        <is>
          <t>Terraform/IaC
Generation</t>
        </is>
      </c>
      <c r="B12" s="79" t="n">
        <v>0.7</v>
      </c>
      <c r="C12" s="79" t="n">
        <v>0.75</v>
      </c>
      <c r="D12" s="80">
        <f>C12-B12</f>
        <v/>
      </c>
      <c r="E12" s="81" t="inlineStr">
        <is>
          <t>Manual HCL writing using Terraform docs + module registry; separate tool from discovery — no auto-population from discovered inventory</t>
        </is>
      </c>
      <c r="F12" s="81" t="inlineStr">
        <is>
          <t>MCP terraform-generator auto-generates HCL from discovery data; app-level resources (SGs, LBs, DNS) pre-populated with actual values from inventory</t>
        </is>
      </c>
      <c r="G12" s="81" t="inlineStr">
        <is>
          <t>+5%: Auto-population from discovery data eliminates the manual step of translating inventory into Terraform variables. Module customization and PR review still manual</t>
        </is>
      </c>
      <c r="H12" s="81" t="inlineStr">
        <is>
          <t>Complex modules (custom VPC peering, Transit Gateway) still need manual HCL</t>
        </is>
      </c>
      <c r="I12" s="40" t="inlineStr">
        <is>
          <t>High</t>
        </is>
      </c>
      <c r="J12" s="5" t="inlineStr">
        <is>
          <t>HashiCorp 2024</t>
        </is>
      </c>
    </row>
    <row r="13" ht="80" customHeight="1">
      <c r="A13" s="78" t="inlineStr">
        <is>
          <t>Container
Artifact Gen</t>
        </is>
      </c>
      <c r="B13" s="79" t="n">
        <v>0.6</v>
      </c>
      <c r="C13" s="79" t="n">
        <v>0.65</v>
      </c>
      <c r="D13" s="80">
        <f>C13-B13</f>
        <v/>
      </c>
      <c r="E13" s="81" t="inlineStr">
        <is>
          <t>Manual Dockerfile writing + K8s manifest creation; tools like Kompose help but dont analyze source code</t>
        </is>
      </c>
      <c r="F13" s="81" t="inlineStr">
        <is>
          <t>AI source-code analysis generates Dockerfiles + K8s manifests + Helm charts tailored to actual app stack; identifies runtime dependencies automatically</t>
        </is>
      </c>
      <c r="G13" s="81" t="inlineStr">
        <is>
          <t>+5%: Source code analysis catches dependencies that manual Dockerfile writing misses. But custom configs, multi-stage builds, sidecar patterns still need manual tuning</t>
        </is>
      </c>
      <c r="H13" s="81" t="inlineStr">
        <is>
          <t>Non-standard stacks (legacy .NET Framework 4.x, COBOL wrappers) need manual Dockerfiles</t>
        </is>
      </c>
      <c r="I13" s="82" t="inlineStr">
        <is>
          <t>Medium</t>
        </is>
      </c>
      <c r="J13" s="5" t="inlineStr">
        <is>
          <t>CNCF 2024</t>
        </is>
      </c>
    </row>
    <row r="14" ht="80" customHeight="1">
      <c r="A14" s="78" t="inlineStr">
        <is>
          <t>Framework
Upgrades</t>
        </is>
      </c>
      <c r="B14" s="79" t="n">
        <v>0.45</v>
      </c>
      <c r="C14" s="79" t="n">
        <v>0.47</v>
      </c>
      <c r="D14" s="85">
        <f>C14-B14</f>
        <v/>
      </c>
      <c r="E14" s="81" t="inlineStr">
        <is>
          <t>Manual code refactoring with IDE assistance; GitHub Copilot helps but doesnt understand migration context</t>
        </is>
      </c>
      <c r="F14" s="81" t="inlineStr">
        <is>
          <t>Upgrade Advisor identifies breaking changes + dependency conflicts in migration context; but actual code changes are still manual developer work</t>
        </is>
      </c>
      <c r="G14" s="81" t="inlineStr">
        <is>
          <t>+2%: Marginal. Code refactoring is fundamentally a developer task. Our tool helps with identification, not execution. Honest: AI assist is ~30-50% for code changes (GitHub Copilot data)</t>
        </is>
      </c>
      <c r="H14" s="81" t="inlineStr">
        <is>
          <t>DO NOT overclaim. Framework upgrades = developer skill, not tool capability</t>
        </is>
      </c>
      <c r="I14" s="86" t="inlineStr">
        <is>
          <t>Low</t>
        </is>
      </c>
      <c r="J14" s="5" t="inlineStr">
        <is>
          <t>GitHub Copilot</t>
        </is>
      </c>
    </row>
    <row r="15" ht="80" customHeight="1">
      <c r="A15" s="78" t="inlineStr">
        <is>
          <t>Middleware
Migration</t>
        </is>
      </c>
      <c r="B15" s="79" t="n">
        <v>0.45</v>
      </c>
      <c r="C15" s="79" t="n">
        <v>0.47</v>
      </c>
      <c r="D15" s="85">
        <f>C15-B15</f>
        <v/>
      </c>
      <c r="E15" s="81" t="inlineStr">
        <is>
          <t>Manual config extraction + version migration; custom plugins need per-plugin analysis</t>
        </is>
      </c>
      <c r="F15" s="81" t="inlineStr">
        <is>
          <t>Config extraction automation + partial middleware mapping; but version differences and custom plugins still need manual migration</t>
        </is>
      </c>
      <c r="G15" s="81" t="inlineStr">
        <is>
          <t>+2%: Marginal. Similar to framework upgrades — tool helps with config extraction but the hard part (plugin compat, job scheduling) is manual</t>
        </is>
      </c>
      <c r="H15" s="81" t="inlineStr">
        <is>
          <t>Middleware migration complexity varies wildly by product (WebLogic vs Tomcat vs IIS)</t>
        </is>
      </c>
      <c r="I15" s="86" t="inlineStr">
        <is>
          <t>Low</t>
        </is>
      </c>
      <c r="J15" s="5" t="inlineStr">
        <is>
          <t>Industry avg</t>
        </is>
      </c>
    </row>
    <row r="16" ht="80" customHeight="1">
      <c r="A16" s="78" t="inlineStr">
        <is>
          <t>Schema
Conversion</t>
        </is>
      </c>
      <c r="B16" s="79" t="n">
        <v>0.6</v>
      </c>
      <c r="C16" s="79" t="n">
        <v>0.65</v>
      </c>
      <c r="D16" s="80">
        <f>C16-B16</f>
        <v/>
      </c>
      <c r="E16" s="81" t="inlineStr">
        <is>
          <t>AWS SCT auto-converts 60-80% of simple objects; complex PL/SQL needs manual DBA rewrite; no AI-assisted suggestions</t>
        </is>
      </c>
      <c r="F16" s="81" t="inlineStr">
        <is>
          <t>DB Remediation Engine wraps SCT + adds AI-suggested fixes for unconverted objects; pattern matching for common PL/SQL-to-PostgreSQL transforms</t>
        </is>
      </c>
      <c r="G16" s="81" t="inlineStr">
        <is>
          <t>+5%: AI pattern matching handles common conversion patterns that SCT marks as "manual action needed". Saves DBA time on repetitive patterns, but complex custom PL/SQL still needs expert</t>
        </is>
      </c>
      <c r="H16" s="81" t="inlineStr">
        <is>
          <t>PG&amp;E Oracle databases with 10+ years of PL/SQL — complexity may exceed AI pattern library</t>
        </is>
      </c>
      <c r="I16" s="82" t="inlineStr">
        <is>
          <t>Medium</t>
        </is>
      </c>
      <c r="J16" s="5" t="inlineStr">
        <is>
          <t>AWS SCT tiers</t>
        </is>
      </c>
    </row>
    <row r="17" ht="80" customHeight="1">
      <c r="A17" s="78" t="inlineStr">
        <is>
          <t>Rehearsal /
Dry Run</t>
        </is>
      </c>
      <c r="B17" s="79" t="n">
        <v>0.55</v>
      </c>
      <c r="C17" s="79" t="n">
        <v>0.6</v>
      </c>
      <c r="D17" s="80">
        <f>C17-B17</f>
        <v/>
      </c>
      <c r="E17" s="81" t="inlineStr">
        <is>
          <t>Manual rehearsal with runbook; separate monitoring to validate outcomes; post-rehearsal findings tracked in spreadsheet</t>
        </is>
      </c>
      <c r="F17" s="81" t="inlineStr">
        <is>
          <t>Orchestrated rehearsal execution with automated outcome validation, gap detection, and finding prioritization in one workflow</t>
        </is>
      </c>
      <c r="G17" s="81" t="inlineStr">
        <is>
          <t>+5%: Orchestrated execution + automated validation saves 1-2 days per rehearsal wave vs manual runbook execution. Findings auto-prioritized instead of manual triage</t>
        </is>
      </c>
      <c r="H17" s="81" t="inlineStr">
        <is>
          <t>Complex failures still need human root-cause analysis</t>
        </is>
      </c>
      <c r="I17" s="83" t="inlineStr">
        <is>
          <t>Medium-High</t>
        </is>
      </c>
      <c r="J17" s="5" t="inlineStr">
        <is>
          <t>AWS Playbook</t>
        </is>
      </c>
    </row>
    <row r="18" ht="80" customHeight="1">
      <c r="A18" s="78" t="inlineStr">
        <is>
          <t>Rehost
Execution</t>
        </is>
      </c>
      <c r="B18" s="79" t="n">
        <v>0.6</v>
      </c>
      <c r="C18" s="79" t="n">
        <v>0.63</v>
      </c>
      <c r="D18" s="85">
        <f>C18-B18</f>
        <v/>
      </c>
      <c r="E18" s="81" t="inlineStr">
        <is>
          <t>AWS MGN / Azure ASR automate replication (biggest time saver); cutover coordination, DNS switch, validation are manual across separate tools</t>
        </is>
      </c>
      <c r="F18" s="81" t="inlineStr">
        <is>
          <t>Unified execution engine orchestrates MGN/ASR replication + cutover scheduling + DNS switch + health check in one pipeline; rollback pre-built</t>
        </is>
      </c>
      <c r="G18" s="81" t="inlineStr">
        <is>
          <t>+3%: Orchestrated pipeline reduces handoff time between replication-complete and cutover-execute. MGN/ASR do the heavy lifting regardless — our value is coordination layer</t>
        </is>
      </c>
      <c r="H18" s="81" t="inlineStr">
        <is>
          <t>Cutover windows are business-driven, not tool-driven</t>
        </is>
      </c>
      <c r="I18" s="82" t="inlineStr">
        <is>
          <t>Medium</t>
        </is>
      </c>
      <c r="J18" s="5" t="inlineStr">
        <is>
          <t>AWS MGN + Gartner</t>
        </is>
      </c>
    </row>
    <row r="19" ht="80" customHeight="1">
      <c r="A19" s="78" t="inlineStr">
        <is>
          <t>Replatform
Execution</t>
        </is>
      </c>
      <c r="B19" s="79" t="n">
        <v>0.55</v>
      </c>
      <c r="C19" s="79" t="n">
        <v>0.57</v>
      </c>
      <c r="D19" s="85">
        <f>C19-B19</f>
        <v/>
      </c>
      <c r="E19" s="81" t="inlineStr">
        <is>
          <t>Scripted OS/DB upgrades via SSM/Ansible; pre/post validation manual; separate tooling for each step</t>
        </is>
      </c>
      <c r="F19" s="81" t="inlineStr">
        <is>
          <t>Upgrade executor chains SSM scripts + validation in orchestrated workflow; auto-generated pre/post validation checks from discovery baselines</t>
        </is>
      </c>
      <c r="G19" s="81" t="inlineStr">
        <is>
          <t>+2%: Auto-generated validation checks from baselines save manual checklist creation. Upgrade scripts themselves are standard SSM/Ansible regardless of tool</t>
        </is>
      </c>
      <c r="H19" s="81" t="inlineStr">
        <is>
          <t>DB upgrades (especially Oracle -&gt; Aurora) have unpredictable compatibility issues</t>
        </is>
      </c>
      <c r="I19" s="82" t="inlineStr">
        <is>
          <t>Medium</t>
        </is>
      </c>
      <c r="J19" s="5" t="inlineStr">
        <is>
          <t>Industry avg</t>
        </is>
      </c>
    </row>
    <row r="20" ht="80" customHeight="1">
      <c r="A20" s="78" t="inlineStr">
        <is>
          <t>Containerize
Execution</t>
        </is>
      </c>
      <c r="B20" s="79" t="n">
        <v>0.55</v>
      </c>
      <c r="C20" s="79" t="n">
        <v>0.58</v>
      </c>
      <c r="D20" s="85">
        <f>C20-B20</f>
        <v/>
      </c>
      <c r="E20" s="81" t="inlineStr">
        <is>
          <t>CI/CD pipeline (Jenkins/GitHub Actions) for build-push-deploy; manual smoke testing and config validation</t>
        </is>
      </c>
      <c r="F20" s="81" t="inlineStr">
        <is>
          <t>Integrated CI/CD pipeline with automated health checks + canary validation; pre-configured from artifact generation phase</t>
        </is>
      </c>
      <c r="G20" s="81" t="inlineStr">
        <is>
          <t>+3%: Pre-configured pipeline from artifact gen phase eliminates manual CI/CD setup. Health checks auto-generated from discovery baselines. Smoke testing still manual</t>
        </is>
      </c>
      <c r="H20" s="81" t="inlineStr">
        <is>
          <t>App-specific validation (business logic) cannot be automated</t>
        </is>
      </c>
      <c r="I20" s="82" t="inlineStr">
        <is>
          <t>Medium</t>
        </is>
      </c>
      <c r="J20" s="5" t="inlineStr">
        <is>
          <t>CNCF 2024</t>
        </is>
      </c>
    </row>
    <row r="21" ht="80" customHeight="1">
      <c r="A21" s="78" t="inlineStr">
        <is>
          <t>FR Testing
(60% effort)</t>
        </is>
      </c>
      <c r="B21" s="79" t="n">
        <v>0.5</v>
      </c>
      <c r="C21" s="79" t="n">
        <v>0.53</v>
      </c>
      <c r="D21" s="85">
        <f>C21-B21</f>
        <v/>
      </c>
      <c r="E21" s="81" t="inlineStr">
        <is>
          <t>Manual test case design + Selenium/Cypress execution; test automation frameworks exist but setup is per-project</t>
        </is>
      </c>
      <c r="F21" s="81" t="inlineStr">
        <is>
          <t>AI-generated test cases from app behavior analysis + parallel execution framework; reduces test design time but defect triage still manual</t>
        </is>
      </c>
      <c r="G21" s="81" t="inlineStr">
        <is>
          <t>+3%: AI test case generation saves 20-30% of test design effort (the other 50% is execution which is already automatable). Defect triage and root cause = human</t>
        </is>
      </c>
      <c r="H21" s="81" t="inlineStr">
        <is>
          <t>Business-logic test cases require domain knowledge no AI can replace</t>
        </is>
      </c>
      <c r="I21" s="82" t="inlineStr">
        <is>
          <t>Medium</t>
        </is>
      </c>
      <c r="J21" s="5" t="inlineStr">
        <is>
          <t>Forrester TEI</t>
        </is>
      </c>
    </row>
    <row r="22" ht="80" customHeight="1">
      <c r="A22" s="78" t="inlineStr">
        <is>
          <t>NFR Testing
(30% effort)</t>
        </is>
      </c>
      <c r="B22" s="79" t="n">
        <v>0.5</v>
      </c>
      <c r="C22" s="79" t="n">
        <v>0.52</v>
      </c>
      <c r="D22" s="85">
        <f>C22-B22</f>
        <v/>
      </c>
      <c r="E22" s="81" t="inlineStr">
        <is>
          <t>Manual JMeter/Gatling scripting + result analysis; performance baselines compared manually</t>
        </is>
      </c>
      <c r="F22" s="81" t="inlineStr">
        <is>
          <t>Auto-generated load scripts from traffic patterns + AI performance comparison against discovery baselines</t>
        </is>
      </c>
      <c r="G22" s="81" t="inlineStr">
        <is>
          <t>+2%: Auto-generated scripts from real traffic patterns more representative than manually designed scenarios. But bottleneck identification and tuning are human tasks</t>
        </is>
      </c>
      <c r="H22" s="81" t="inlineStr">
        <is>
          <t>Performance issues often root-cause to architecture, not configuration</t>
        </is>
      </c>
      <c r="I22" s="82" t="inlineStr">
        <is>
          <t>Medium</t>
        </is>
      </c>
      <c r="J22" s="5" t="inlineStr">
        <is>
          <t>Gartner</t>
        </is>
      </c>
    </row>
    <row r="23" ht="80" customHeight="1">
      <c r="A23" s="78" t="inlineStr">
        <is>
          <t>Right-Sizing</t>
        </is>
      </c>
      <c r="B23" s="79" t="n">
        <v>0.7</v>
      </c>
      <c r="C23" s="79" t="n">
        <v>0.72</v>
      </c>
      <c r="D23" s="85">
        <f>C23-B23</f>
        <v/>
      </c>
      <c r="E23" s="81" t="inlineStr">
        <is>
          <t>AWS Compute Optimizer / Azure Advisor — already highly accurate (80%+ match rate); cloud-native tools are mature here</t>
        </is>
      </c>
      <c r="F23" s="81" t="inlineStr">
        <is>
          <t>Unified right-sizing across AWS+Azure+AzLocal in single view; but cloud-native tools already do this well individually</t>
        </is>
      </c>
      <c r="G23" s="81" t="inlineStr">
        <is>
          <t>+2%: Marginal — unified view is convenient but cloud-native tools are excellent. Our value is cross-cloud comparison, not better analysis</t>
        </is>
      </c>
      <c r="H23" s="81" t="inlineStr">
        <is>
          <t>Honest: AWS Compute Optimizer is hard to beat on AWS-specific sizing</t>
        </is>
      </c>
      <c r="I23" s="83" t="inlineStr">
        <is>
          <t>Medium-High</t>
        </is>
      </c>
      <c r="J23" s="5" t="inlineStr">
        <is>
          <t>AWS Compute Opt</t>
        </is>
      </c>
    </row>
    <row r="24" ht="80" customHeight="1">
      <c r="A24" s="78" t="inlineStr">
        <is>
          <t>Monitoring
Setup</t>
        </is>
      </c>
      <c r="B24" s="79" t="n">
        <v>0.55</v>
      </c>
      <c r="C24" s="79" t="n">
        <v>0.57</v>
      </c>
      <c r="D24" s="85">
        <f>C24-B24</f>
        <v/>
      </c>
      <c r="E24" s="81" t="inlineStr">
        <is>
          <t>Terraform modules for CloudWatch/Azure Monitor + manual Grafana dashboard creation</t>
        </is>
      </c>
      <c r="F24" s="81" t="inlineStr">
        <is>
          <t>Pre-built monitoring templates + Grafana integration auto-deployed from discovery metadata; PG&amp;E-specific SLOs still manual</t>
        </is>
      </c>
      <c r="G24" s="81" t="inlineStr">
        <is>
          <t>+2%: Pre-built templates from discovery metadata save dashboard creation time. Alert thresholds auto-suggested from baselines. Custom SLOs remain manual</t>
        </is>
      </c>
      <c r="H24" s="81" t="inlineStr">
        <is>
          <t>PG&amp;E-specific operational requirements drive custom alerting regardless</t>
        </is>
      </c>
      <c r="I24" s="82" t="inlineStr">
        <is>
          <t>Medium</t>
        </is>
      </c>
      <c r="J24" s="5" t="inlineStr">
        <is>
          <t>Datadog/Grafana</t>
        </is>
      </c>
    </row>
    <row r="25" ht="80" customHeight="1">
      <c r="A25" s="78" t="inlineStr">
        <is>
          <t>Vuln Discovery
Scan</t>
        </is>
      </c>
      <c r="B25" s="79" t="n">
        <v>0.65</v>
      </c>
      <c r="C25" s="79" t="n">
        <v>0.68</v>
      </c>
      <c r="D25" s="85">
        <f>C25-B25</f>
        <v/>
      </c>
      <c r="E25" s="81" t="inlineStr">
        <is>
          <t>Nessus/Qualys scan separately + manual CVSS triage in spreadsheet; separate from migration workflow</t>
        </is>
      </c>
      <c r="F25" s="81" t="inlineStr">
        <is>
          <t>Integrated vuln scanning in migration pipeline + CVSS auto-triage + false-positive filtering using migration context (e.g., server being retired = deprioritize)</t>
        </is>
      </c>
      <c r="G25" s="81" t="inlineStr">
        <is>
          <t>+3%: Migration-context-aware triage is the differentiator. Generic vuln scanners dont know which servers are being retired vs migrated — our tool does, reducing unnecessary triage</t>
        </is>
      </c>
      <c r="H25" s="81" t="inlineStr">
        <is>
          <t>Critical CVEs on NERC CIP systems still need manual human review regardless</t>
        </is>
      </c>
      <c r="I25" s="83" t="inlineStr">
        <is>
          <t>Medium-High</t>
        </is>
      </c>
      <c r="J25" s="5" t="inlineStr">
        <is>
          <t>Tenable/Qualys</t>
        </is>
      </c>
    </row>
    <row r="26" ht="80" customHeight="1">
      <c r="A26" s="78" t="inlineStr">
        <is>
          <t>Vuln Remediation
Planning</t>
        </is>
      </c>
      <c r="B26" s="79" t="n">
        <v>0.55</v>
      </c>
      <c r="C26" s="79" t="n">
        <v>0.58</v>
      </c>
      <c r="D26" s="85">
        <f>C26-B26</f>
        <v/>
      </c>
      <c r="E26" s="81" t="inlineStr">
        <is>
          <t>Manual CVE-to-patch mapping + change request creation in ServiceNow; patch scheduling around change windows</t>
        </is>
      </c>
      <c r="F26" s="81" t="inlineStr">
        <is>
          <t>AI-prioritized remediation plan with auto-generated runbooks + change request drafts; migration-aware scheduling (patch before migrate, not after)</t>
        </is>
      </c>
      <c r="G26" s="81" t="inlineStr">
        <is>
          <t>+3%: Migration-aware scheduling prevents patch-then-migrate vs migrate-then-patch conflicts. Auto-generated runbooks save 1-2 days per wave planning cycle</t>
        </is>
      </c>
      <c r="H26" s="81" t="inlineStr">
        <is>
          <t>CAB approval and change window negotiation are organizational, not tool-solvable</t>
        </is>
      </c>
      <c r="I26" s="82" t="inlineStr">
        <is>
          <t>Medium</t>
        </is>
      </c>
      <c r="J26" s="5" t="inlineStr">
        <is>
          <t>ServiceNow VR</t>
        </is>
      </c>
    </row>
    <row r="27" ht="80" customHeight="1">
      <c r="A27" s="78" t="inlineStr">
        <is>
          <t>Vuln Patch
Execution</t>
        </is>
      </c>
      <c r="B27" s="79" t="n">
        <v>0.55</v>
      </c>
      <c r="C27" s="79" t="n">
        <v>0.57</v>
      </c>
      <c r="D27" s="85">
        <f>C27-B27</f>
        <v/>
      </c>
      <c r="E27" s="81" t="inlineStr">
        <is>
          <t>SSM/Ansible patch automation + manual validation; compliance evidence collected separately</t>
        </is>
      </c>
      <c r="F27" s="81" t="inlineStr">
        <is>
          <t>Orchestrated patching with auto-generated compliance evidence trail; NERC CIP audit-ready output</t>
        </is>
      </c>
      <c r="G27" s="81" t="inlineStr">
        <is>
          <t>+2%: Auto-generated compliance evidence trail saves manual documentation. But NERC CIP sign-off is still manual regulatory process</t>
        </is>
      </c>
      <c r="H27" s="81" t="inlineStr">
        <is>
          <t>Patch rollback scenarios still need human decision-making</t>
        </is>
      </c>
      <c r="I27" s="82" t="inlineStr">
        <is>
          <t>Medium</t>
        </is>
      </c>
      <c r="J27" s="5" t="inlineStr">
        <is>
          <t>AWS SSM</t>
        </is>
      </c>
    </row>
    <row r="28" ht="80" customHeight="1">
      <c r="A28" s="78" t="inlineStr">
        <is>
          <t>Vuln Continuous
Monitoring</t>
        </is>
      </c>
      <c r="B28" s="79" t="n">
        <v>0.6</v>
      </c>
      <c r="C28" s="79" t="n">
        <v>0.62</v>
      </c>
      <c r="D28" s="85">
        <f>C28-B28</f>
        <v/>
      </c>
      <c r="E28" s="81" t="inlineStr">
        <is>
          <t>Scheduled scans + manual ticket creation in JIRA/ServiceNow; periodic reporting</t>
        </is>
      </c>
      <c r="F28" s="81" t="inlineStr">
        <is>
          <t>Continuous scanning + auto-ticketing + Grafana vuln posture dashboard with SLA tracking</t>
        </is>
      </c>
      <c r="G28" s="81" t="inlineStr">
        <is>
          <t>+2%: Auto-ticketing and dashboard are convenient but not transformational. The real work is remediation follow-up which is manual regardless</t>
        </is>
      </c>
      <c r="H28" s="81" t="inlineStr">
        <is>
          <t>Dashboard ≠ remediation. Pretty charts dont fix CVEs</t>
        </is>
      </c>
      <c r="I28" s="82" t="inlineStr">
        <is>
          <t>Medium</t>
        </is>
      </c>
      <c r="J28" s="5" t="inlineStr">
        <is>
          <t>Industry avg</t>
        </is>
      </c>
    </row>
    <row r="29">
      <c r="A29" s="15" t="inlineStr">
        <is>
          <t>WEIGHTED AVERAGE</t>
        </is>
      </c>
      <c r="B29" s="87">
        <f>AVERAGE(B5:B28)</f>
        <v/>
      </c>
      <c r="C29" s="87">
        <f>AVERAGE(C5:C28)</f>
        <v/>
      </c>
      <c r="D29" s="88">
        <f>C29-B29</f>
        <v/>
      </c>
      <c r="E29" s="15" t="n"/>
      <c r="F29" s="15" t="n"/>
      <c r="G29" s="15" t="inlineStr">
        <is>
          <t>AWS Transform+Kiro provides ~3-4% incremental improvement over industry standard on average</t>
        </is>
      </c>
      <c r="H29" s="15" t="n"/>
      <c r="I29" s="15" t="n"/>
      <c r="J29" s="15" t="n"/>
    </row>
    <row r="32">
      <c r="A32" s="89" t="inlineStr">
        <is>
          <t>Honest Summary: Where AWS Transform+Kiro Genuinely Adds Value</t>
        </is>
      </c>
    </row>
    <row r="33">
      <c r="A33" s="90" t="inlineStr">
        <is>
          <t>STRONG ADVANTAGES (+5-7% over industry): Integration &amp; Multi-Cloud Unification</t>
        </is>
      </c>
    </row>
    <row r="34" ht="30" customHeight="1">
      <c r="A34" s="91" t="inlineStr">
        <is>
          <t>1. UNIFIED MULTI-CLOUD DISCOVERY: Single scan across AWS+Azure+AzLocal vs running 3 separate tools and merging spreadsheets. For 4273 servers across 3 clouds, this saves 3-5 days of reconciliation.</t>
        </is>
      </c>
    </row>
    <row r="35" ht="30" customHeight="1">
      <c r="A35" s="91" t="inlineStr">
        <is>
          <t>2. DISCOVERY-TO-IaC PIPELINE: Terraform auto-generated FROM discovery data — no manual translation of inventory into HCL variables. Industry tools have a gap between discovery output and IaC input.</t>
        </is>
      </c>
    </row>
    <row r="36" ht="30" customHeight="1">
      <c r="A36" s="91" t="inlineStr">
        <is>
          <t>3. DISCOVERY-TO-TCO PIPELINE: TCO auto-generated from actual inventory vs manual AWS/Azure pricing calculator input. Eliminates data-entry errors and multi-cloud comparison spreadsheets.</t>
        </is>
      </c>
    </row>
    <row r="37" ht="30" customHeight="1">
      <c r="A37" s="91" t="inlineStr">
        <is>
          <t>4. DB REMEDIATION LAYER: Goes beyond SCT reporting — provides AI-suggested fixes for unconverted objects. SCT tells you what failed; our tool suggests how to fix it.</t>
        </is>
      </c>
    </row>
    <row r="38" ht="30" customHeight="1">
      <c r="A38" s="91" t="inlineStr">
        <is>
          <t>5. MIGRATION-CONTEXT VULN TRIAGE: Generic vuln scanners dont know migration context. Our tool deprioritizes CVEs on servers being retired, prioritizes servers being migrated first.</t>
        </is>
      </c>
    </row>
    <row r="40">
      <c r="A40" s="92" t="inlineStr">
        <is>
          <t>MODERATE ADVANTAGES (+2-3%): Orchestration &amp; Workflow Automation</t>
        </is>
      </c>
    </row>
    <row r="41" ht="30" customHeight="1">
      <c r="A41" s="91" t="inlineStr">
        <is>
          <t>6. ORCHESTRATED EXECUTION: Single pipeline for replication -&gt; cutover -&gt; DNS -&gt; validation vs manual handoffs between MGN console, Route53, and monitoring dashboard.</t>
        </is>
      </c>
    </row>
    <row r="42" ht="30" customHeight="1">
      <c r="A42" s="91" t="inlineStr">
        <is>
          <t>7. REHEARSAL ORCHESTRATION: Automated rehearsal execution + outcome validation vs manual runbook + spreadsheet checklist.</t>
        </is>
      </c>
    </row>
    <row r="43" ht="30" customHeight="1">
      <c r="A43" s="91" t="inlineStr">
        <is>
          <t>8. AI TEST GENERATION: Test cases auto-generated from app behavior analysis. Saves ~20-30% of test design time. Execution speed is same (Selenium/Cypress).</t>
        </is>
      </c>
    </row>
    <row r="44" ht="30" customHeight="1">
      <c r="A44" s="91" t="inlineStr">
        <is>
          <t>9. PRE-BUILT MONITORING: Templates auto-deployed from discovery metadata. Saves dashboard creation time but custom PG&amp;E SLOs still manual.</t>
        </is>
      </c>
    </row>
    <row r="46">
      <c r="A46" s="93" t="inlineStr">
        <is>
          <t>HONEST LIMITATIONS (0-2%): Areas Where Our Tool Doesnt Significantly Outperform</t>
        </is>
      </c>
    </row>
    <row r="47" ht="30" customHeight="1">
      <c r="A47" s="91" t="inlineStr">
        <is>
          <t>10. COMPLIANCE / NERC CIP: Regulatory compliance is fundamentally manual. Our scanning is marginally faster but the bottleneck (evidence collection, auditor review) is unchanged. +2% max.</t>
        </is>
      </c>
    </row>
    <row r="48" ht="30" customHeight="1">
      <c r="A48" s="91" t="inlineStr">
        <is>
          <t>11. FRAMEWORK UPGRADES: Code refactoring is a developer skill. Our Upgrade Advisor helps with identification, but actual .NET/Java code changes need developers. +2% max.</t>
        </is>
      </c>
    </row>
    <row r="49" ht="30" customHeight="1">
      <c r="A49" s="91" t="inlineStr">
        <is>
          <t>12. MIDDLEWARE MIGRATION: Custom plugin compatibility is per-product analysis. Tool can extract configs but cant validate WebLogic-to-Tomcat plugin compatibility automatically.</t>
        </is>
      </c>
    </row>
    <row r="50" ht="30" customHeight="1">
      <c r="A50" s="91" t="inlineStr">
        <is>
          <t>13. PERFORMANCE BASELINE: Cloud-native monitoring (CloudWatch, Azure Monitor) is already excellent. Our unified view is convenient but doesnt collect metrics faster. 0% delta.</t>
        </is>
      </c>
    </row>
    <row r="51" ht="30" customHeight="1">
      <c r="A51" s="91" t="inlineStr">
        <is>
          <t>14. RIGHT-SIZING: AWS Compute Optimizer is genuinely best-in-class for AWS. Our value is cross-cloud comparison, not better per-cloud sizing. +2% max.</t>
        </is>
      </c>
    </row>
    <row r="54">
      <c r="A54" s="20" t="inlineStr">
        <is>
          <t>BOTTOM LINE FOR EXECUTIVES</t>
        </is>
      </c>
    </row>
    <row r="55">
      <c r="A55" s="94" t="inlineStr">
        <is>
          <t>AWS Transform+Kiro does NOT claim to be 2x faster than industry tools. It provides a consistent 3-7% improvement in high-impact areas</t>
        </is>
      </c>
    </row>
    <row r="56">
      <c r="A56" s="95" t="inlineStr">
        <is>
          <t>through INTEGRATION (eliminating manual handoffs between 10+ separate tools) rather than making individual activities dramatically faster.</t>
        </is>
      </c>
    </row>
    <row r="57">
      <c r="A57" s="95" t="inlineStr"/>
    </row>
    <row r="58">
      <c r="A58" s="94" t="inlineStr">
        <is>
          <t>The real value proposition is: ONE PLATFORM replacing AWS Migration Hub + Azure Migrate + SCT + DMA + Terraform CLI + Nessus + JMeter + 5 spreadsheets.</t>
        </is>
      </c>
    </row>
    <row r="59">
      <c r="A59" s="95" t="inlineStr">
        <is>
          <t>Time saved = less from faster individual tasks, MORE from eliminated handoff/reconciliation overhead between disconnected tools.</t>
        </is>
      </c>
    </row>
    <row r="60">
      <c r="A60" s="95" t="inlineStr"/>
    </row>
    <row r="61">
      <c r="A61" s="95" t="inlineStr">
        <is>
          <t>Industry Standard Blended Savings: =B29 | AWS Native Blended Savings: =C29 | Net Improvement: =D29</t>
        </is>
      </c>
    </row>
  </sheetData>
  <mergeCells count="7">
    <mergeCell ref="A46:J46"/>
    <mergeCell ref="A32:J32"/>
    <mergeCell ref="A40:J40"/>
    <mergeCell ref="A2:K2"/>
    <mergeCell ref="A54:J54"/>
    <mergeCell ref="A1:K1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9" t="inlineStr">
        <is>
          <t>PG&amp;E Migration Cost by Cloud Platform — AWS Transform+Kiro</t>
        </is>
      </c>
    </row>
    <row r="2">
      <c r="A2" s="2" t="inlineStr">
        <is>
          <t>415 Apps | 4,273 Servers | Discovery COMPLETED | PG&amp;E provides LZ/Networking</t>
        </is>
      </c>
    </row>
    <row r="4">
      <c r="A4" s="20" t="inlineStr">
        <is>
          <t>Section A: Migration Duration by Cloud</t>
        </is>
      </c>
    </row>
    <row r="5" ht="40" customHeight="1">
      <c r="A5" s="4" t="inlineStr">
        <is>
          <t>Cloud Platform</t>
        </is>
      </c>
      <c r="B5" s="4" t="inlineStr">
        <is>
          <t>Apps</t>
        </is>
      </c>
      <c r="C5" s="4" t="inlineStr">
        <is>
          <t>Servers</t>
        </is>
      </c>
      <c r="D5" s="4" t="inlineStr">
        <is>
          <t>Traditional
Days</t>
        </is>
      </c>
      <c r="E5" s="4" t="inlineStr">
        <is>
          <t>AI Factor</t>
        </is>
      </c>
      <c r="F5" s="4" t="inlineStr">
        <is>
          <t>AI Days</t>
        </is>
      </c>
      <c r="G5" s="4" t="inlineStr">
        <is>
          <t>Days Saved</t>
        </is>
      </c>
      <c r="H5" s="4" t="inlineStr">
        <is>
          <t>Savings %</t>
        </is>
      </c>
      <c r="I5" s="4" t="inlineStr">
        <is>
          <t>Months
Saved</t>
        </is>
      </c>
    </row>
    <row r="6">
      <c r="A6" s="98" t="inlineStr">
        <is>
          <t>AWS</t>
        </is>
      </c>
      <c r="B6" s="5" t="n">
        <v>107</v>
      </c>
      <c r="C6" s="5" t="n">
        <v>719</v>
      </c>
      <c r="D6" s="5" t="n">
        <v>533</v>
      </c>
      <c r="E6" s="79" t="n">
        <v>0.34</v>
      </c>
      <c r="F6" s="5">
        <f>D6*E6</f>
        <v/>
      </c>
      <c r="G6" s="5">
        <f>D6-F6</f>
        <v/>
      </c>
      <c r="H6" s="79">
        <f>IF(D6&gt;0,(D6-F6)/D6,0)</f>
        <v/>
      </c>
      <c r="I6" s="5">
        <f>ROUND(G6/22,1)</f>
        <v/>
      </c>
    </row>
    <row r="7">
      <c r="A7" s="99" t="inlineStr">
        <is>
          <t>Azure</t>
        </is>
      </c>
      <c r="B7" s="100" t="n">
        <v>145</v>
      </c>
      <c r="C7" s="100" t="n">
        <v>852</v>
      </c>
      <c r="D7" s="100" t="n">
        <v>538</v>
      </c>
      <c r="E7" s="101" t="n">
        <v>0.5</v>
      </c>
      <c r="F7" s="100">
        <f>D7*E7</f>
        <v/>
      </c>
      <c r="G7" s="100">
        <f>D7-F7</f>
        <v/>
      </c>
      <c r="H7" s="101">
        <f>IF(D7&gt;0,(D7-F7)/D7,0)</f>
        <v/>
      </c>
      <c r="I7" s="100">
        <f>ROUND(G7/22,1)</f>
        <v/>
      </c>
    </row>
    <row r="8">
      <c r="A8" s="99" t="inlineStr">
        <is>
          <t>Azure Local / HyperV</t>
        </is>
      </c>
      <c r="B8" s="100" t="n">
        <v>130</v>
      </c>
      <c r="C8" s="100" t="n">
        <v>2702</v>
      </c>
      <c r="D8" s="100" t="n">
        <v>586</v>
      </c>
      <c r="E8" s="101" t="n">
        <v>0.52</v>
      </c>
      <c r="F8" s="100">
        <f>D8*E8</f>
        <v/>
      </c>
      <c r="G8" s="100">
        <f>D8-F8</f>
        <v/>
      </c>
      <c r="H8" s="101">
        <f>IF(D8&gt;0,(D8-F8)/D8,0)</f>
        <v/>
      </c>
      <c r="I8" s="100">
        <f>ROUND(G8/22,1)</f>
        <v/>
      </c>
    </row>
    <row r="9">
      <c r="A9" s="15" t="inlineStr">
        <is>
          <t>TOTAL</t>
        </is>
      </c>
      <c r="B9" s="15">
        <f>SUM(B6:B8)</f>
        <v/>
      </c>
      <c r="C9" s="15">
        <f>SUM(C6:C8)</f>
        <v/>
      </c>
      <c r="D9" s="15">
        <f>SUM(D6:D8)</f>
        <v/>
      </c>
      <c r="E9" s="15" t="n"/>
      <c r="F9" s="15">
        <f>SUM(F6:F8)</f>
        <v/>
      </c>
      <c r="G9" s="15">
        <f>SUM(G6:G8)</f>
        <v/>
      </c>
      <c r="H9" s="87">
        <f>IF(D9&gt;0,(D9-F9)/D9,0)</f>
        <v/>
      </c>
      <c r="I9" s="15">
        <f>ROUND(G9/22,1)</f>
        <v/>
      </c>
    </row>
    <row r="12">
      <c r="A12" s="20" t="inlineStr">
        <is>
          <t>Section B: Migration Cost by Cloud (2-Year)</t>
        </is>
      </c>
    </row>
    <row r="13" ht="40" customHeight="1">
      <c r="A13" s="4" t="inlineStr">
        <is>
          <t>Cloud Platform</t>
        </is>
      </c>
      <c r="B13" s="4" t="inlineStr">
        <is>
          <t>AI Days</t>
        </is>
      </c>
      <c r="C13" s="4" t="inlineStr">
        <is>
          <t>Avg FTEs</t>
        </is>
      </c>
      <c r="D13" s="4" t="inlineStr">
        <is>
          <t>Blended
Rate ($)</t>
        </is>
      </c>
      <c r="E13" s="4" t="inlineStr">
        <is>
          <t>Y1 Labor ($)</t>
        </is>
      </c>
      <c r="F13" s="4" t="inlineStr">
        <is>
          <t>Y2 Labor
(13% SS)</t>
        </is>
      </c>
      <c r="G13" s="4" t="inlineStr">
        <is>
          <t>Platform
License ($)</t>
        </is>
      </c>
      <c r="H13" s="4" t="inlineStr">
        <is>
          <t>Tooling &amp;
Other ($)</t>
        </is>
      </c>
      <c r="I13" s="4" t="inlineStr">
        <is>
          <t>2-Year Total ($)</t>
        </is>
      </c>
    </row>
    <row r="14">
      <c r="A14" s="98" t="inlineStr">
        <is>
          <t>AWS (107 apps)</t>
        </is>
      </c>
      <c r="B14" s="5" t="n">
        <v>181</v>
      </c>
      <c r="C14" s="5" t="n">
        <v>5</v>
      </c>
      <c r="D14" s="22" t="n">
        <v>1050</v>
      </c>
      <c r="E14" s="22">
        <f>B14*C14*D14</f>
        <v/>
      </c>
      <c r="F14" s="22">
        <f>E14*0.13</f>
        <v/>
      </c>
      <c r="G14" s="22" t="n">
        <v>0</v>
      </c>
      <c r="H14" s="22" t="n">
        <v>40000</v>
      </c>
      <c r="I14" s="22">
        <f>E14+F14+G14+H14</f>
        <v/>
      </c>
    </row>
    <row r="15">
      <c r="A15" s="99" t="inlineStr">
        <is>
          <t>Azure (145 apps)</t>
        </is>
      </c>
      <c r="B15" s="100" t="n">
        <v>269</v>
      </c>
      <c r="C15" s="100" t="n">
        <v>6</v>
      </c>
      <c r="D15" s="102" t="n">
        <v>1050</v>
      </c>
      <c r="E15" s="102">
        <f>B15*C15*D15</f>
        <v/>
      </c>
      <c r="F15" s="102">
        <f>E15*0.13</f>
        <v/>
      </c>
      <c r="G15" s="102" t="n">
        <v>0</v>
      </c>
      <c r="H15" s="102" t="n">
        <v>40000</v>
      </c>
      <c r="I15" s="102">
        <f>E15+F15+G15+H15</f>
        <v/>
      </c>
    </row>
    <row r="16">
      <c r="A16" s="99" t="inlineStr">
        <is>
          <t>Azure Local/HV (130 apps)</t>
        </is>
      </c>
      <c r="B16" s="100" t="n">
        <v>305</v>
      </c>
      <c r="C16" s="100" t="n">
        <v>6</v>
      </c>
      <c r="D16" s="102" t="n">
        <v>1050</v>
      </c>
      <c r="E16" s="102">
        <f>B16*C16*D16</f>
        <v/>
      </c>
      <c r="F16" s="102">
        <f>E16*0.13</f>
        <v/>
      </c>
      <c r="G16" s="102" t="n">
        <v>0</v>
      </c>
      <c r="H16" s="102" t="n">
        <v>40000</v>
      </c>
      <c r="I16" s="102">
        <f>E16+F16+G16+H16</f>
        <v/>
      </c>
    </row>
    <row r="17">
      <c r="A17" s="5" t="inlineStr">
        <is>
          <t>Contingency (12%)</t>
        </is>
      </c>
      <c r="B17" s="5" t="n"/>
      <c r="C17" s="5" t="n"/>
      <c r="D17" s="5" t="n"/>
      <c r="E17" s="5" t="n"/>
      <c r="F17" s="5" t="n"/>
      <c r="G17" s="5" t="n"/>
      <c r="H17" s="5" t="n"/>
      <c r="I17" s="22">
        <f>SUM(I14:I16)*0.12</f>
        <v/>
      </c>
    </row>
    <row r="18">
      <c r="A18" s="15" t="inlineStr">
        <is>
          <t>GRAND TOTAL (2-Year)</t>
        </is>
      </c>
      <c r="B18" s="15" t="n"/>
      <c r="C18" s="15" t="n"/>
      <c r="D18" s="15" t="n"/>
      <c r="E18" s="23">
        <f>SUM(E14:E16)</f>
        <v/>
      </c>
      <c r="F18" s="23">
        <f>SUM(F14:F16)</f>
        <v/>
      </c>
      <c r="G18" s="15" t="n"/>
      <c r="H18" s="15" t="n"/>
      <c r="I18" s="23">
        <f>SUM(I14:I16)+I17</f>
        <v/>
      </c>
    </row>
    <row r="20">
      <c r="A20" s="86" t="inlineStr">
        <is>
          <t>Traditional 2-Year (No AI)</t>
        </is>
      </c>
      <c r="B20" s="5" t="n"/>
      <c r="C20" s="5" t="n"/>
      <c r="D20" s="5" t="n"/>
      <c r="E20" s="5" t="n"/>
      <c r="F20" s="5" t="n"/>
      <c r="G20" s="5" t="n"/>
      <c r="H20" s="5" t="n"/>
      <c r="I20" s="103" t="n">
        <v>12349312.5</v>
      </c>
    </row>
    <row r="21">
      <c r="A21" s="77" t="inlineStr">
        <is>
          <t>NET SAVINGS</t>
        </is>
      </c>
      <c r="B21" s="5" t="n"/>
      <c r="C21" s="5" t="n"/>
      <c r="D21" s="5" t="n"/>
      <c r="E21" s="5" t="n"/>
      <c r="F21" s="5" t="n"/>
      <c r="G21" s="5" t="n"/>
      <c r="H21" s="5" t="n"/>
      <c r="I21" s="104">
        <f>I20-I18</f>
        <v/>
      </c>
    </row>
    <row r="23">
      <c r="A23" s="29" t="inlineStr">
        <is>
          <t>Tool: AWS Transform+Kiro</t>
        </is>
      </c>
    </row>
    <row r="24">
      <c r="A24" s="105" t="inlineStr">
        <is>
          <t>AWS-native: best for AWS. Azure/AzLocal use industry-std tools (50-52%)</t>
        </is>
      </c>
    </row>
    <row r="25">
      <c r="A25" s="106" t="inlineStr">
        <is>
          <t>CAVEAT: Yellow rows = Azure/AzLocal use industry-standard tools (50-52% savings), NOT AWS-native tools</t>
        </is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2026-04-02T19:36:20Z</dcterms:created>
  <dcterms:modified xmlns:dcterms="http://purl.org/dc/terms/" xmlns:xsi="http://www.w3.org/2001/XMLSchema-instance" xsi:type="dcterms:W3CDTF">2026-04-02T20:05:02Z</dcterms:modified>
</cp:coreProperties>
</file>