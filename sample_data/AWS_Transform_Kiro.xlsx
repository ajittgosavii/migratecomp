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  <font>
      <b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0" fontId="36" fillId="7" borderId="1" pivotButton="0" quotePrefix="0" xfId="0"/>
    <xf numFmtId="0" fontId="0" fillId="7" borderId="1" pivotButton="0" quotePrefix="0" xfId="0"/>
    <xf numFmtId="9" fontId="0" fillId="7" borderId="1" pivotButton="0" quotePrefix="0" xfId="0"/>
    <xf numFmtId="165" fontId="0" fillId="7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  <xf numFmtId="0" fontId="38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68% savings. AWS Native auto-discovery is mature (agentless + agent-based), covers VMware/Hyper-V/physical well. Lacks unified multi-cloud single-pane — separate scans per platform need manual merging. [Ref: Gartner MQ 2024 + AWS Native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62% savings. AWS Native dependency mapping uses network flow + process-level analysis. Good for standard dependencies but limited AI-augmented pattern detection for complex cross-app chains. [Ref: Gartner 2024 - AWS Native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65% savings. AWS Native integrates with AWS SCT/Azure DMA for schema analysis. Standard tool integration — no additional AI-assisted fix layer beyond what SCT provides. [Ref: AWS SCT docs + AWS Native integration docs]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70% savings. AWS Native collects performance metrics via APIs — similar to industry standard. CloudWatch/Azure Monitor integration is well-implemented. [Ref: AWS CloudWatch + AWS Native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50% savings. AWS Native has basic compliance checking but no dedicated compliance microservice. NERC CIP evidence collection is largely manual regardless of tool. [Ref: NERC CIP requirements + AWS Native docs]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58% savings. AWS Native has license tracking module but limited AI-driven BYOL eligibility analysis. Standard CMDB-driven approach. [Ref: Flexera 2024 + AWS Native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70% savings. AWS Native has solid TCO modeling with cloud pricing integration. Covers AWS + Azure but requires separate runs per cloud — no single multi-cloud comparison view. [Ref: AWS Pricing + AWS Native cost module]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62% savings. AWS Native wave planning uses dependency data + configurable rules. Functional but rule-based rather than AI-optimized — adequate for most scenarios. [Ref: McKinsey 2023 + AWS Native wave planner]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65% savings (validation only — PG&amp;E provides LZ). AWS Native has LZ templates but limited auto-validation capability. [Ref: AWS Landing Zone Accelerator + AWS Native docs]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70% savings. AWS Native generates Terraform/CloudFormation templates from discovery. Good template library but less dynamic auto-population from live inventory vs purpose-built IaC generators. [Ref: HashiCorp 2024 + AWS Native IaC module]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55% savings (Industry std: 60%). AWS Native has limited containerization support — basic Dockerfile templates but no AI source-code analysis for runtime dependency detection. Containerization is not AWS Native core strength. [Ref: CNCF 2024 + AWS Native product scope]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42% savings. AWS Native does not provide framework upgrade assistance — this is outside AWS Native platform scope. Standard developer tooling (IDE + Copilot) applies. [Ref: AWS Native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42% savings. AWS Native has limited middleware migration support — basic config export for common middleware but no deep plugin compatibility analysis. [Ref: AWS Native product scope]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60% savings. AWS Native wraps standard SCT/DMA — no additional AI-assisted fix layer. Complex stored proc conversion remains fully manual DBA work. [Ref: AWS SCT tiers + AWS Native DB module]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57% savings. AWS Native has workflow-based rehearsal execution. Good orchestration but limited automated outcome validation — manual checklist-based verification. [Ref: AWS Native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62% savings. AWS Native core strength — excellent rehost automation with MGN/ASR orchestration. Cutover workflow well-integrated. One of AWS Native best features. [Ref: AWS MGN + Gartner + AWS Native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55% savings. AWS Native supports basic replatform workflows (OS upgrade scripts) but less automated pre/post validation than purpose-built platforms. [Ref: Industry avg + AWS Native replatform module]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52% savings. AWS Native has limited native containerization execution — relies on external CI/CD (Jenkins/GitHub Actions). No pre-configured pipeline from artifact generation. [Ref: CNCF 2024 + AWS Native product scope]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45% savings. AWS Native has no native test generation capability. Testing relies on external test automation frameworks (Selenium, Cypress). No AI-assisted test case generation. [Ref: Forrester TEI + AWS Native product scope]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47% savings. AWS Native has no performance test generation. Relies on external JMeter/Gatling. No auto-generated load scripts from traffic patterns. [Ref: Gartner + AWS Native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70% savings. AWS Native integrates with cloud-native right-sizing tools (Compute Optimizer, Azure Advisor). Similar to industry standard — adds management layer. [Ref: AWS Compute Optimizer + AWS Native optimization module]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55% savings. AWS Native has basic monitoring template deployment but limited auto-generation from discovery metadata. Standard CloudWatch/Azure Monitor setup required. [Ref: Datadog/Grafana + AWS Native docs]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62% savings. AWS Native is not a vulnerability management platform — requires separate Nessus/Qualys integration. No migration-context-aware CVSS triage. [Ref: Tenable/Qualys + AWS Native product scope]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52% savings. AWS Native has no native vuln remediation planning. Separate ServiceNow/JIRA workflows required. No migration-aware patch scheduling. [Ref: ServiceNow VR + AWS Native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52% savings. AWS Native does not include patch management — requires separate SSM/Ansible. No auto-generated compliance evidence trail. [Ref: AWS SSM + AWS Native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55% savings. AWS Native does not provide continuous vulnerability monitoring. Requires separate Nessus/Qualys scheduled scans + manual JIRA ticketing. [Ref: Industry avg + AWS Native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90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143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117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58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41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74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44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29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90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69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AWS Transform+Kiro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0.34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9" t="inlineStr">
        <is>
          <t>Azure</t>
        </is>
      </c>
      <c r="B7" s="100" t="n">
        <v>145</v>
      </c>
      <c r="C7" s="100" t="n">
        <v>852</v>
      </c>
      <c r="D7" s="100" t="n">
        <v>538</v>
      </c>
      <c r="E7" s="101" t="n">
        <v>0.5</v>
      </c>
      <c r="F7" s="100">
        <f>D7*E7</f>
        <v/>
      </c>
      <c r="G7" s="100">
        <f>D7-F7</f>
        <v/>
      </c>
      <c r="H7" s="101">
        <f>IF(D7&gt;0,(D7-F7)/D7,0)</f>
        <v/>
      </c>
      <c r="I7" s="100">
        <f>ROUND(G7/22,1)</f>
        <v/>
      </c>
    </row>
    <row r="8">
      <c r="A8" s="99" t="inlineStr">
        <is>
          <t>Azure Local / HyperV</t>
        </is>
      </c>
      <c r="B8" s="100" t="n">
        <v>130</v>
      </c>
      <c r="C8" s="100" t="n">
        <v>2702</v>
      </c>
      <c r="D8" s="100" t="n">
        <v>586</v>
      </c>
      <c r="E8" s="101" t="n">
        <v>0.52</v>
      </c>
      <c r="F8" s="100">
        <f>D8*E8</f>
        <v/>
      </c>
      <c r="G8" s="100">
        <f>D8-F8</f>
        <v/>
      </c>
      <c r="H8" s="101">
        <f>IF(D8&gt;0,(D8-F8)/D8,0)</f>
        <v/>
      </c>
      <c r="I8" s="100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181</v>
      </c>
      <c r="C14" s="5" t="n">
        <v>14</v>
      </c>
      <c r="D14" s="22" t="n">
        <v>1050</v>
      </c>
      <c r="E14" s="22">
        <f>B14*C14*D14</f>
        <v/>
      </c>
      <c r="F14" s="22">
        <f>E14*0.13</f>
        <v/>
      </c>
      <c r="G14" s="22" t="n">
        <v>0</v>
      </c>
      <c r="H14" s="22" t="n">
        <v>40000</v>
      </c>
      <c r="I14" s="22">
        <f>E14+F14+G14+H14</f>
        <v/>
      </c>
    </row>
    <row r="15">
      <c r="A15" s="99" t="inlineStr">
        <is>
          <t>Azure (145 apps)</t>
        </is>
      </c>
      <c r="B15" s="100" t="n">
        <v>269</v>
      </c>
      <c r="C15" s="100" t="n">
        <v>14</v>
      </c>
      <c r="D15" s="102" t="n">
        <v>1050</v>
      </c>
      <c r="E15" s="102">
        <f>B15*C15*D15</f>
        <v/>
      </c>
      <c r="F15" s="102">
        <f>E15*0.13</f>
        <v/>
      </c>
      <c r="G15" s="102" t="n">
        <v>0</v>
      </c>
      <c r="H15" s="102" t="n">
        <v>40000</v>
      </c>
      <c r="I15" s="102">
        <f>E15+F15+G15+H15</f>
        <v/>
      </c>
    </row>
    <row r="16">
      <c r="A16" s="99" t="inlineStr">
        <is>
          <t>Azure Local/HV (130 apps)</t>
        </is>
      </c>
      <c r="B16" s="100" t="n">
        <v>305</v>
      </c>
      <c r="C16" s="100" t="n">
        <v>14</v>
      </c>
      <c r="D16" s="102" t="n">
        <v>1050</v>
      </c>
      <c r="E16" s="102">
        <f>B16*C16*D16</f>
        <v/>
      </c>
      <c r="F16" s="102">
        <f>E16*0.13</f>
        <v/>
      </c>
      <c r="G16" s="102" t="n">
        <v>0</v>
      </c>
      <c r="H16" s="102" t="n">
        <v>40000</v>
      </c>
      <c r="I16" s="10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03" t="n">
        <v>10840125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4">
        <f>I20-I18</f>
        <v/>
      </c>
    </row>
    <row r="23">
      <c r="A23" s="29" t="inlineStr">
        <is>
          <t>Tool: AWS Transform+Kiro</t>
        </is>
      </c>
    </row>
    <row r="24">
      <c r="A24" s="105" t="inlineStr">
        <is>
          <t>AWS-native: best for AWS. Azure/AzLocal use industry-std tools (50-52%)</t>
        </is>
      </c>
    </row>
    <row r="25">
      <c r="A25" s="106" t="inlineStr">
        <is>
          <t>CAVEAT: Yellow rows = Azure/AzLocal use industry-standard tools (50-52% savings), NOT AWS-native tools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2026-04-02T20:28:42Z</dcterms:modified>
</cp:coreProperties>
</file>