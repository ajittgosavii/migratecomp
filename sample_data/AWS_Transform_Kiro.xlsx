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ost by Clou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</font>
    <font>
      <b val="1"/>
      <color rgb="00006100"/>
      <sz val="14"/>
    </font>
    <font>
      <b val="1"/>
      <color rgb="00C00000"/>
      <sz val="10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6" fillId="0" borderId="1" pivotButton="0" quotePrefix="0" xfId="0"/>
    <xf numFmtId="0" fontId="36" fillId="7" borderId="1" pivotButton="0" quotePrefix="0" xfId="0"/>
    <xf numFmtId="0" fontId="0" fillId="7" borderId="1" pivotButton="0" quotePrefix="0" xfId="0"/>
    <xf numFmtId="9" fontId="0" fillId="7" borderId="1" pivotButton="0" quotePrefix="0" xfId="0"/>
    <xf numFmtId="165" fontId="0" fillId="7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  <xf numFmtId="0" fontId="38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AWS Transform+Kiro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</v>
      </c>
      <c r="C6" s="5" t="inlineStr">
        <is>
          <t>70% savings. AWS Migration Hub + Application Discovery Service: agentless/agent-based. COVERAGE: AWS targets only (26% of PG&amp;E). Azure/AzLocal need separate Azure Migrate.</t>
        </is>
      </c>
      <c r="D6" s="5" t="inlineStr">
        <is>
          <t>Manual server-by-server inventory, spreadsheet reconciliation, app owner interviews</t>
        </is>
      </c>
      <c r="E6" s="5" t="inlineStr">
        <is>
          <t>AWS Native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65% savings. AWS ADS agent-based dependency mapping. COVERAGE: AWS targets only. Azure/AzLocal need separate tooling.</t>
        </is>
      </c>
      <c r="D7" s="5" t="inlineStr">
        <is>
          <t>Manual interviews with app owners, network trace analysis, cross-team dependency workshops</t>
        </is>
      </c>
      <c r="E7" s="5" t="inlineStr">
        <is>
          <t>AWS Native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0.28</v>
      </c>
      <c r="C8" s="5" t="inlineStr">
        <is>
          <t>72% savings. AWS SCT: best-in-class schema analysis. COVERAGE: AWS DB targets only. Azure DBs need Azure DMA.</t>
        </is>
      </c>
      <c r="D8" s="5" t="inlineStr">
        <is>
          <t>Manual schema review, stored proc analysis, compatibility matrix building</t>
        </is>
      </c>
      <c r="E8" s="5" t="inlineStr">
        <is>
          <t>AWS Native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0.25</v>
      </c>
      <c r="C9" s="5" t="inlineStr">
        <is>
          <t>75% savings. AWS CloudWatch: native metric collection. COVERAGE: AWS instances only. Azure needs Azure Monitor.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AWS Native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0.42</v>
      </c>
      <c r="C10" s="5" t="inlineStr">
        <is>
          <t>58% savings. AWS Security Hub + Config Rules. COVERAGE: AWS resources only. Azure needs Defender for Cloud.</t>
        </is>
      </c>
      <c r="D10" s="5" t="inlineStr">
        <is>
          <t>Manual control review, evidence collection, policy mapping, regulatory documentation</t>
        </is>
      </c>
      <c r="E10" s="5" t="inlineStr">
        <is>
          <t>AWS Native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0.35</v>
      </c>
      <c r="C11" s="5" t="inlineStr">
        <is>
          <t>65% savings. AWS License Manager + OLA program. COVERAGE: AWS BYOL only. Azure licensing separate.</t>
        </is>
      </c>
      <c r="D11" s="5" t="inlineStr">
        <is>
          <t>Manual license inventory, vendor contract review, BYOL eligibility assessment</t>
        </is>
      </c>
      <c r="E11" s="5" t="inlineStr">
        <is>
          <t>AWS Native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0.28</v>
      </c>
      <c r="C12" s="5" t="inlineStr">
        <is>
          <t>72% savings. AWS Migration Evaluator (TSO Logic). COVERAGE: AWS TCO only. No Azure/AzLocal comparison.</t>
        </is>
      </c>
      <c r="D12" s="5" t="inlineStr">
        <is>
          <t>Manual spreadsheet modeling, vendor quote gathering, assumption documentation</t>
        </is>
      </c>
      <c r="E12" s="5" t="inlineStr">
        <is>
          <t>AWS Native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0.35</v>
      </c>
      <c r="C13" s="5" t="inlineStr">
        <is>
          <t>65% savings. AWS Migration Hub Orchestrator. COVERAGE: AWS migrations only. Azure/AzLocal need separate orchestration.</t>
        </is>
      </c>
      <c r="D13" s="5" t="inlineStr">
        <is>
          <t>Manual dependency review, stakeholder negotiation, change window scheduling</t>
        </is>
      </c>
      <c r="E13" s="5" t="inlineStr">
        <is>
          <t>AWS Native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0.3</v>
      </c>
      <c r="C14" s="5" t="inlineStr">
        <is>
          <t>70% savings. AWS Control Tower + LZ Accelerator. COVERAGE: AWS LZ only. PG&amp;E provides all LZs.</t>
        </is>
      </c>
      <c r="D14" s="5" t="inlineStr">
        <is>
          <t>Manual architecture review, compliance gap analysis, design documentation</t>
        </is>
      </c>
      <c r="E14" s="5" t="inlineStr">
        <is>
          <t>AWS Native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0.32</v>
      </c>
      <c r="C15" s="5" t="inlineStr">
        <is>
          <t>68% savings. Kiro IDE: Claude AI-powered HCL generation. COVERAGE: AWS CloudFormation/HCL. Azure ARM separate.</t>
        </is>
      </c>
      <c r="D15" s="5" t="inlineStr">
        <is>
          <t>Manual HCL writing, module development, testing, review iterations</t>
        </is>
      </c>
      <c r="E15" s="5" t="inlineStr">
        <is>
          <t>AWS Native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</v>
      </c>
      <c r="C16" s="5" t="inlineStr">
        <is>
          <t>70% savings. Amazon Q Developer + Kiro: AI containerization. COVERAGE: EKS/ECR. AKS needs separate tooling.</t>
        </is>
      </c>
      <c r="D16" s="5" t="inlineStr">
        <is>
          <t>Manual Dockerfile creation, K8s manifest writing, Helm chart development</t>
        </is>
      </c>
      <c r="E16" s="5" t="inlineStr">
        <is>
          <t>AWS Native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0.35</v>
      </c>
      <c r="C17" s="5" t="inlineStr">
        <is>
          <t>65% savings. Amazon Q Transform: agentic .NET/Java (4x faster). COVERAGE: Works for all clouds (code-level tool).</t>
        </is>
      </c>
      <c r="D17" s="5" t="inlineStr">
        <is>
          <t>Manual code refactoring, dependency updates, regression fixing, build testing</t>
        </is>
      </c>
      <c r="E17" s="5" t="inlineStr">
        <is>
          <t>No AWS Native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0.45</v>
      </c>
      <c r="C18" s="5" t="inlineStr">
        <is>
          <t>55% savings. Amazon Q Transform: automated refactoring. COVERAGE: Partially cloud-agnostic.</t>
        </is>
      </c>
      <c r="D18" s="5" t="inlineStr">
        <is>
          <t>Manual config extraction, version migration, plugin compatibility testing</t>
        </is>
      </c>
      <c r="E18" s="5" t="inlineStr">
        <is>
          <t>AWS Native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0.3</v>
      </c>
      <c r="C19" s="5" t="inlineStr">
        <is>
          <t>70% savings. AWS SCT: native auto-conversion. COVERAGE: AWS-targeted DBs only. Azure DBs need DMA.</t>
        </is>
      </c>
      <c r="D19" s="5" t="inlineStr">
        <is>
          <t>Manual stored proc rewriting, trigger conversion, cross-DB reference resolution</t>
        </is>
      </c>
      <c r="E19" s="5" t="inlineStr">
        <is>
          <t>AWS Native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</v>
      </c>
      <c r="C20" s="5" t="inlineStr">
        <is>
          <t>60% savings. AWS Migration Hub Orchestrator. COVERAGE: AWS migrations only.</t>
        </is>
      </c>
      <c r="D20" s="5" t="inlineStr">
        <is>
          <t>Manual rehearsal execution, validation checklist, defect logging, re-planning</t>
        </is>
      </c>
      <c r="E20" s="5" t="inlineStr">
        <is>
          <t>AWS Native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0.28</v>
      </c>
      <c r="C21" s="5" t="inlineStr">
        <is>
          <t>72% savings. AWS MGN: BEST-IN-CLASS rehost. COVERAGE: AWS EC2 targets only. Azure needs ASR.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AWS Native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0.38</v>
      </c>
      <c r="C22" s="5" t="inlineStr">
        <is>
          <t>62% savings. AWS MGN + SSM post-launch scripts. COVERAGE: AWS targets only.</t>
        </is>
      </c>
      <c r="D22" s="5" t="inlineStr">
        <is>
          <t>Manual OS patching, DB upgrade, compatibility testing, validation</t>
        </is>
      </c>
      <c r="E22" s="5" t="inlineStr">
        <is>
          <t>AWS Native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0.35</v>
      </c>
      <c r="C23" s="5" t="inlineStr">
        <is>
          <t>65% savings. AWS CodePipeline + ECR + EKS. COVERAGE: EKS only. AKS needs separate pipeline.</t>
        </is>
      </c>
      <c r="D23" s="5" t="inlineStr">
        <is>
          <t>Manual Docker build, push, K8s deploy, smoke test, config tuning</t>
        </is>
      </c>
      <c r="E23" s="5" t="inlineStr">
        <is>
          <t>AWS Native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0.48</v>
      </c>
      <c r="C24" s="5" t="inlineStr">
        <is>
          <t>52% savings. Kiro IDE: AI test generation from specs. COVERAGE: Cloud-agnostic (code-level).</t>
        </is>
      </c>
      <c r="D24" s="5" t="inlineStr">
        <is>
          <t>Manual test case design, execution, defect logging, root cause analysis</t>
        </is>
      </c>
      <c r="E24" s="5" t="inlineStr">
        <is>
          <t>No AWS Native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0.52</v>
      </c>
      <c r="C25" s="5" t="inlineStr">
        <is>
          <t>48% savings. No AWS-native perf testing. Standard JMeter/Gatling. COVERAGE: Cloud-agnostic.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AWS Native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0.22</v>
      </c>
      <c r="C26" s="5" t="inlineStr">
        <is>
          <t>78% savings. AWS Compute Optimizer: best-in-class (80%+ accuracy). COVERAGE: AWS instances only. Azure Advisor separate.</t>
        </is>
      </c>
      <c r="D26" s="5" t="inlineStr">
        <is>
          <t>Manual CloudWatch analysis, sizing spreadsheets, vendor benchmarking</t>
        </is>
      </c>
      <c r="E26" s="5" t="inlineStr">
        <is>
          <t>AWS Native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0.3</v>
      </c>
      <c r="C27" s="5" t="inlineStr">
        <is>
          <t>70% savings. AWS CloudWatch: native dashboards + alarms. COVERAGE: AWS resources only. Azure Monitor separate.</t>
        </is>
      </c>
      <c r="D27" s="5" t="inlineStr">
        <is>
          <t>Manual dashboard creation, alert configuration, SLO definition, escalation setup</t>
        </is>
      </c>
      <c r="E27" s="5" t="inlineStr">
        <is>
          <t>AWS Native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0.33</v>
      </c>
      <c r="C28" s="5" t="inlineStr">
        <is>
          <t>67% savings. AWS Inspector: continuous scanning. COVERAGE: AWS ECR/EC2 only. Azure needs Defender.</t>
        </is>
      </c>
      <c r="D28" s="5" t="inlineStr">
        <is>
          <t>Manual scan scheduling, CSV export, CVSS triage, false positive validation</t>
        </is>
      </c>
      <c r="E28" s="5" t="inlineStr">
        <is>
          <t>AWS Native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0.4</v>
      </c>
      <c r="C29" s="5" t="inlineStr">
        <is>
          <t>60% savings. AWS Security Hub + SSM. COVERAGE: AWS resources only.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AWS Native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0.35</v>
      </c>
      <c r="C30" s="5" t="inlineStr">
        <is>
          <t>65% savings. AWS SSM Patch Manager: automated. COVERAGE: AWS EC2 only. Azure needs Update Manager.</t>
        </is>
      </c>
      <c r="D30" s="5" t="inlineStr">
        <is>
          <t>Manual patch deployment, snapshot creation, reboot coordination, compliance evidence</t>
        </is>
      </c>
      <c r="E30" s="5" t="inlineStr">
        <is>
          <t>No AWS Native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0.35</v>
      </c>
      <c r="C31" s="5" t="inlineStr">
        <is>
          <t>65% savings. AWS Inspector continuous + Security Hub. COVERAGE: AWS only.</t>
        </is>
      </c>
      <c r="D31" s="5" t="inlineStr">
        <is>
          <t>Periodic manual scans, spreadsheet tracking, manual ticket creation, SLA monitoring</t>
        </is>
      </c>
      <c r="E31" s="5" t="inlineStr">
        <is>
          <t>No AWS Native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~59% with AWS Transform+Kiro (Industry std: ~59% | McKinsey benchmark: 40-60%)</t>
        </is>
      </c>
    </row>
    <row r="74">
      <c r="A74" s="8" t="inlineStr">
        <is>
          <t>AWS Native tools are best-in-class for AWS targets (~65%), but do NOT cover Azure/Azure Local (~59%)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AWS Transform+Kiro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96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7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AWS Native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AWS Native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AWS Native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AWS Native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AWS Native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AWS Native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AWS Native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AWS Native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Not AWS Native scope: Separate Nessus/Qualys with manual CVSS triage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Not AWS Native scope: Separate ServiceNow for remediation planning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7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AWS Native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AWS Native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AWS Native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AWS Native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AWS Native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AWS Native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AWS Native: Limited containerization — basic Dockerfile templates, no AI source analysis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AWS Native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AWS Native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7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AWS Native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AWS Native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AWS Native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AWS Native: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Not AWS Native scope: IDE + Copilot for code modernization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AWS Native: Basic config export; manual for custom plugins and job scheduling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AWS Native DB: SCT auto-conversion only; no AI-assisted fix layer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AWS Native Workflow: Orchestrated rehearsal; manual outcome validation via checklist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Not AWS Native scope: Manual integration testing with standard frameworks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AWS Native: Basic compliance check; manual security validation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Not AWS Native scope: Separate SSM/Ansible;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7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AWS Native Execution: Workflow-based pilot; good orchestration, manual validation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AWS Native Rehost: Strong MGN/ASR orchestration + cutover — AWS Native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AWS Native Replatform: Scripted upgrades; manual pre/post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AWS Native: External CI/CD orchestration (Jenkins/GHA); no native container pipeline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Not AWS Native scope: Standard developer tooling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AWS Native Decommission: Basic dependency check; manual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AWS Native DB: DMS task orchestration; manual monitoring and cutover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AWS Native Workflow: DNS cutover step; manual traffic validation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AWS Native Rollback: Workflow-triggered rollback; manual state verification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Not AWS Native scope: Separate Nessus/Qualys; manual delta analysis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Not AWS Native scope: Separate SSM/Ansible; manual health verification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7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Not AWS Native scope: Manual test design + Selenium/Cypress execution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Not AWS Native scope: Manual targeted testing with standard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Not AWS Native scope: Manual JMeter/Gatling scripting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Not AWS Native scope: Manual smoke testing with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Not AWS Native scope: Separate pen test tools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Not AWS Native scope: Standard JIRA/ALM for UAT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7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AWS Native Optimization: Wraps Compute Optimizer/Azure Advisor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AWS Native Cost: Basic RI recommendation; manual for spot and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AWS Native: Basic monitoring templates; manual dashboard configuration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AWS Native: Basic report export; manual runbook and architecture docs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AWS Native Decommission: Basic check; manual shutdown confirmation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Not AWS Native scope: Separate Nessus/Qualys + manual JIRA 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Not AWS Native scope: Separate Nessus/Qualys dashboards or manual Excel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71</v>
      </c>
      <c r="D35" s="7" t="n">
        <v>24</v>
      </c>
      <c r="E35" s="7" t="n">
        <v>16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112</v>
      </c>
      <c r="D36" s="7" t="n">
        <v>39</v>
      </c>
      <c r="E36" s="7" t="n">
        <v>22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92</v>
      </c>
      <c r="D37" s="7" t="n">
        <v>32</v>
      </c>
      <c r="E37" s="7" t="n">
        <v>16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46</v>
      </c>
      <c r="D38" s="7" t="n">
        <v>16</v>
      </c>
      <c r="E38" s="7" t="n">
        <v>17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33</v>
      </c>
      <c r="D39" s="7" t="n">
        <v>11</v>
      </c>
      <c r="E39" s="7" t="n">
        <v>10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58</v>
      </c>
      <c r="D40" s="7" t="n">
        <v>20</v>
      </c>
      <c r="E40" s="7" t="n">
        <v>11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35</v>
      </c>
      <c r="D41" s="7" t="n">
        <v>12</v>
      </c>
      <c r="E41" s="7" t="n">
        <v>8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23</v>
      </c>
      <c r="D42" s="7" t="n">
        <v>8</v>
      </c>
      <c r="E42" s="7" t="n">
        <v>7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71</v>
      </c>
      <c r="D43" s="7" t="n">
        <v>24</v>
      </c>
      <c r="E43" s="7" t="n">
        <v>6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54</v>
      </c>
      <c r="D44" s="7" t="n">
        <v>19</v>
      </c>
      <c r="E44" s="7" t="n">
        <v>10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AWS Transform+Kiro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AWS Transform+Kiro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AWS Transform+Kiro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AWS Transform+Kiro vs Industry Standard — Honest Benchmark Comparison</t>
        </is>
      </c>
    </row>
    <row r="2">
      <c r="A2" s="2" t="inlineStr">
        <is>
          <t>Industry = Generic tooling (AWS Migration Hub + separate SCT + separate Terraform + manual glue) | AWS Native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AWS Native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AWS Transform+Kiro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AWS Transform+Kiro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AWS Transform+Kiro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AWS Transform+Kiro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AWS Native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AWS Transform+Kiro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98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0.34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99" t="inlineStr">
        <is>
          <t>Azure</t>
        </is>
      </c>
      <c r="B7" s="100" t="n">
        <v>145</v>
      </c>
      <c r="C7" s="100" t="n">
        <v>852</v>
      </c>
      <c r="D7" s="100" t="n">
        <v>538</v>
      </c>
      <c r="E7" s="101" t="n">
        <v>0.5</v>
      </c>
      <c r="F7" s="100">
        <f>D7*E7</f>
        <v/>
      </c>
      <c r="G7" s="100">
        <f>D7-F7</f>
        <v/>
      </c>
      <c r="H7" s="101">
        <f>IF(D7&gt;0,(D7-F7)/D7,0)</f>
        <v/>
      </c>
      <c r="I7" s="100">
        <f>ROUND(G7/22,1)</f>
        <v/>
      </c>
    </row>
    <row r="8">
      <c r="A8" s="99" t="inlineStr">
        <is>
          <t>Azure Local / HyperV</t>
        </is>
      </c>
      <c r="B8" s="100" t="n">
        <v>130</v>
      </c>
      <c r="C8" s="100" t="n">
        <v>2702</v>
      </c>
      <c r="D8" s="100" t="n">
        <v>586</v>
      </c>
      <c r="E8" s="101" t="n">
        <v>0.52</v>
      </c>
      <c r="F8" s="100">
        <f>D8*E8</f>
        <v/>
      </c>
      <c r="G8" s="100">
        <f>D8-F8</f>
        <v/>
      </c>
      <c r="H8" s="101">
        <f>IF(D8&gt;0,(D8-F8)/D8,0)</f>
        <v/>
      </c>
      <c r="I8" s="100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98" t="inlineStr">
        <is>
          <t>AWS (107 apps)</t>
        </is>
      </c>
      <c r="B14" s="5" t="n">
        <v>181</v>
      </c>
      <c r="C14" s="5" t="n">
        <v>4</v>
      </c>
      <c r="D14" s="22" t="n">
        <v>1050</v>
      </c>
      <c r="E14" s="22">
        <f>B14*C14*D14</f>
        <v/>
      </c>
      <c r="F14" s="22">
        <f>E14*0.13</f>
        <v/>
      </c>
      <c r="G14" s="22" t="n">
        <v>0</v>
      </c>
      <c r="H14" s="22" t="n">
        <v>20000</v>
      </c>
      <c r="I14" s="22">
        <f>E14+F14+G14+H14</f>
        <v/>
      </c>
    </row>
    <row r="15">
      <c r="A15" s="99" t="inlineStr">
        <is>
          <t>Azure (145 apps)</t>
        </is>
      </c>
      <c r="B15" s="100" t="n">
        <v>269</v>
      </c>
      <c r="C15" s="100" t="n">
        <v>5</v>
      </c>
      <c r="D15" s="102" t="n">
        <v>1050</v>
      </c>
      <c r="E15" s="102">
        <f>B15*C15*D15</f>
        <v/>
      </c>
      <c r="F15" s="102">
        <f>E15*0.13</f>
        <v/>
      </c>
      <c r="G15" s="102" t="n">
        <v>0</v>
      </c>
      <c r="H15" s="102" t="n">
        <v>20000</v>
      </c>
      <c r="I15" s="102">
        <f>E15+F15+G15+H15</f>
        <v/>
      </c>
    </row>
    <row r="16">
      <c r="A16" s="99" t="inlineStr">
        <is>
          <t>Azure Local/HV (130 apps)</t>
        </is>
      </c>
      <c r="B16" s="100" t="n">
        <v>305</v>
      </c>
      <c r="C16" s="100" t="n">
        <v>5</v>
      </c>
      <c r="D16" s="102" t="n">
        <v>1050</v>
      </c>
      <c r="E16" s="102">
        <f>B16*C16*D16</f>
        <v/>
      </c>
      <c r="F16" s="102">
        <f>E16*0.13</f>
        <v/>
      </c>
      <c r="G16" s="102" t="n">
        <v>0</v>
      </c>
      <c r="H16" s="102" t="n">
        <v>20000</v>
      </c>
      <c r="I16" s="10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103" t="n">
        <v>10174500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04">
        <f>I20-I18</f>
        <v/>
      </c>
    </row>
    <row r="23">
      <c r="A23" s="29" t="inlineStr">
        <is>
          <t>Tool: AWS Transform+Kiro</t>
        </is>
      </c>
    </row>
    <row r="24">
      <c r="A24" s="105" t="inlineStr">
        <is>
          <t>AWS-native: best for AWS. Azure/AzLocal use industry-std tools (50-52%)</t>
        </is>
      </c>
    </row>
    <row r="25">
      <c r="A25" s="106" t="inlineStr">
        <is>
          <t>CAVEAT: Yellow rows = Azure/AzLocal use industry-standard tools (50-52% savings), NOT AWS-native tools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2026-04-02T19:36:20Z</dcterms:created>
  <dcterms:modified xmlns:dcterms="http://purl.org/dc/terms/" xmlns:xsi="http://www.w3.org/2001/XMLSchema-instance" xsi:type="dcterms:W3CDTF">2026-04-02T21:21:04Z</dcterms:modified>
</cp:coreProperties>
</file>