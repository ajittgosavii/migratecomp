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  <font>
      <b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0" fontId="36" fillId="7" borderId="1" pivotButton="0" quotePrefix="0" xfId="0"/>
    <xf numFmtId="0" fontId="0" fillId="7" borderId="1" pivotButton="0" quotePrefix="0" xfId="0"/>
    <xf numFmtId="9" fontId="0" fillId="7" borderId="1" pivotButton="0" quotePrefix="0" xfId="0"/>
    <xf numFmtId="165" fontId="0" fillId="7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  <xf numFmtId="0" fontId="38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0.37</v>
      </c>
      <c r="C6" s="5" t="inlineStr">
        <is>
          <t>63% savings (WEIGHTED: AWS-native 70% x 26% + Industry 60% x 74%). AWS tools only cover 107 AWS apps; Azure/AzLocal use industry-standard tools.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0.42</v>
      </c>
      <c r="C7" s="5" t="inlineStr">
        <is>
          <t>58% savings (WEIGHTED: AWS-native 65% x 26% + Industry 55% x 74%). AWS tools only cover 107 AWS apps; Azure/AzLocal use industry-standard tools.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0.37</v>
      </c>
      <c r="C8" s="5" t="inlineStr">
        <is>
          <t>63% savings (WEIGHTED: AWS-native 72% x 26% + Industry 60% x 74%). AWS tools only cover 107 AWS apps; Azure/AzLocal use industry-standard tools.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68% savings (WEIGHTED: AWS-native 75% x 26% + Industry 65% x 74%). AWS tools only cover 107 AWS apps; Azure/AzLocal use industry-standard tools.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0.49</v>
      </c>
      <c r="C10" s="5" t="inlineStr">
        <is>
          <t>51% savings (WEIGHTED: AWS-native 58% x 26% + Industry 48% x 74%). AWS tools only cover 107 AWS apps; Azure/AzLocal use industry-standard tools.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 (WEIGHTED: AWS-native 65% x 26% + Industry 55% x 74%). AWS tools only cover 107 AWS apps; Azure/AzLocal use industry-standard tools.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0.33</v>
      </c>
      <c r="C12" s="5" t="inlineStr">
        <is>
          <t>67% savings (WEIGHTED: AWS-native 72% x 26% + Industry 65% x 74%). AWS tools only cover 107 AWS apps; Azure/AzLocal use industry-standard tools.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0.4</v>
      </c>
      <c r="C13" s="5" t="inlineStr">
        <is>
          <t>60% savings (WEIGHTED: AWS-native 65% x 26% + Industry 58% x 74%). AWS tools only cover 107 AWS apps; Azure/AzLocal use industry-standard tools.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0.37</v>
      </c>
      <c r="C14" s="5" t="inlineStr">
        <is>
          <t>63% savings (WEIGHTED: AWS-native 70% x 26% + Industry 60% x 74%). AWS tools only cover 107 AWS apps; Azure/AzLocal use industry-standard tools.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0.38</v>
      </c>
      <c r="C15" s="5" t="inlineStr">
        <is>
          <t>62% savings (WEIGHTED: AWS-native 68% x 26% + Industry 60% x 74%). AWS tools only cover 107 AWS apps; Azure/AzLocal use industry-standard tools.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0.41</v>
      </c>
      <c r="C16" s="5" t="inlineStr">
        <is>
          <t>59% savings (WEIGHTED: AWS-native 70% x 26% + Industry 55% x 74%). AWS tools only cover 107 AWS apps; Azure/AzLocal use industry-standard tools.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</v>
      </c>
      <c r="C17" s="5" t="inlineStr">
        <is>
          <t>50% savings (WEIGHTED: AWS-native 65% x 26% + Industry 45% x 74%). AWS tools only cover 107 AWS apps; Azure/AzLocal use industry-standard tools.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0.52</v>
      </c>
      <c r="C18" s="5" t="inlineStr">
        <is>
          <t>48% savings (WEIGHTED: AWS-native 55% x 26% + Industry 45% x 74%). AWS tools only cover 107 AWS apps; Azure/AzLocal use industry-standard tools.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0.39</v>
      </c>
      <c r="C19" s="5" t="inlineStr">
        <is>
          <t>61% savings (WEIGHTED: AWS-native 70% x 26% + Industry 58% x 74%). AWS tools only cover 107 AWS apps; Azure/AzLocal use industry-standard tools.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0.46</v>
      </c>
      <c r="C20" s="5" t="inlineStr">
        <is>
          <t>54% savings (WEIGHTED: AWS-native 60% x 26% + Industry 52% x 74%). AWS tools only cover 107 AWS apps; Azure/AzLocal use industry-standard tools.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 (WEIGHTED: AWS-native 72% x 26% + Industry 58% x 74%). AWS tools only cover 107 AWS apps; Azure/AzLocal use industry-standard tools.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 (WEIGHTED: AWS-native 62% x 26% + Industry 52% x 74%). AWS tools only cover 107 AWS apps; Azure/AzLocal use industry-standard tools.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0.45</v>
      </c>
      <c r="C23" s="5" t="inlineStr">
        <is>
          <t>55% savings (WEIGHTED: AWS-native 65% x 26% + Industry 52% x 74%). AWS tools only cover 107 AWS apps; Azure/AzLocal use industry-standard tools.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0.53</v>
      </c>
      <c r="C24" s="5" t="inlineStr">
        <is>
          <t>47% savings (WEIGHTED: AWS-native 52% x 26% + Industry 45% x 74%). AWS tools only cover 107 AWS apps; Azure/AzLocal use industry-standard tools.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0.54</v>
      </c>
      <c r="C25" s="5" t="inlineStr">
        <is>
          <t>46% savings (WEIGHTED: AWS-native 48% x 26% + Industry 45% x 74%). AWS tools only cover 107 AWS apps; Azure/AzLocal use industry-standard tools.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0.29</v>
      </c>
      <c r="C26" s="5" t="inlineStr">
        <is>
          <t>71% savings (WEIGHTED: AWS-native 78% x 26% + Industry 68% x 74%). AWS tools only cover 107 AWS apps; Azure/AzLocal use industry-standard tools.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0.41</v>
      </c>
      <c r="C27" s="5" t="inlineStr">
        <is>
          <t>59% savings (WEIGHTED: AWS-native 70% x 26% + Industry 55% x 74%). AWS tools only cover 107 AWS apps; Azure/AzLocal use industry-standard tools.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 (WEIGHTED: AWS-native 67% x 26% + Industry 60% x 74%). AWS tools only cover 107 AWS apps; Azure/AzLocal use industry-standard tools.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0.47</v>
      </c>
      <c r="C29" s="5" t="inlineStr">
        <is>
          <t>53% savings (WEIGHTED: AWS-native 60% x 26% + Industry 50% x 74%). AWS tools only cover 107 AWS apps; Azure/AzLocal use industry-standard tools.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0.45</v>
      </c>
      <c r="C30" s="5" t="inlineStr">
        <is>
          <t>55% savings (WEIGHTED: AWS-native 65% x 26% + Industry 52% x 74%). AWS tools only cover 107 AWS apps; Azure/AzLocal use industry-standard tools.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0.42</v>
      </c>
      <c r="C31" s="5" t="inlineStr">
        <is>
          <t>58% savings (WEIGHTED: AWS-native 65% x 26% + Industry 55% x 74%). AWS tools only cover 107 AWS apps; Azure/AzLocal use industry-standard tools.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2"/>
    <row r="33"/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30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47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39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19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24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15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10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30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23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AWS Transform+Kiro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0.34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9" t="inlineStr">
        <is>
          <t>Azure</t>
        </is>
      </c>
      <c r="B7" s="100" t="n">
        <v>145</v>
      </c>
      <c r="C7" s="100" t="n">
        <v>852</v>
      </c>
      <c r="D7" s="100" t="n">
        <v>538</v>
      </c>
      <c r="E7" s="101" t="n">
        <v>0.5</v>
      </c>
      <c r="F7" s="100">
        <f>D7*E7</f>
        <v/>
      </c>
      <c r="G7" s="100">
        <f>D7-F7</f>
        <v/>
      </c>
      <c r="H7" s="101">
        <f>IF(D7&gt;0,(D7-F7)/D7,0)</f>
        <v/>
      </c>
      <c r="I7" s="100">
        <f>ROUND(G7/22,1)</f>
        <v/>
      </c>
    </row>
    <row r="8">
      <c r="A8" s="99" t="inlineStr">
        <is>
          <t>Azure Local / HyperV</t>
        </is>
      </c>
      <c r="B8" s="100" t="n">
        <v>130</v>
      </c>
      <c r="C8" s="100" t="n">
        <v>2702</v>
      </c>
      <c r="D8" s="100" t="n">
        <v>586</v>
      </c>
      <c r="E8" s="101" t="n">
        <v>0.52</v>
      </c>
      <c r="F8" s="100">
        <f>D8*E8</f>
        <v/>
      </c>
      <c r="G8" s="100">
        <f>D8-F8</f>
        <v/>
      </c>
      <c r="H8" s="101">
        <f>IF(D8&gt;0,(D8-F8)/D8,0)</f>
        <v/>
      </c>
      <c r="I8" s="100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181</v>
      </c>
      <c r="C14" s="5" t="n">
        <v>14</v>
      </c>
      <c r="D14" s="22" t="n">
        <v>1050</v>
      </c>
      <c r="E14" s="22">
        <f>B14*C14*D14</f>
        <v/>
      </c>
      <c r="F14" s="22">
        <f>E14*0.13</f>
        <v/>
      </c>
      <c r="G14" s="22" t="n">
        <v>0</v>
      </c>
      <c r="H14" s="22" t="n">
        <v>40000</v>
      </c>
      <c r="I14" s="22">
        <f>E14+F14+G14+H14</f>
        <v/>
      </c>
    </row>
    <row r="15">
      <c r="A15" s="99" t="inlineStr">
        <is>
          <t>Azure (145 apps)</t>
        </is>
      </c>
      <c r="B15" s="100" t="n">
        <v>269</v>
      </c>
      <c r="C15" s="100" t="n">
        <v>14</v>
      </c>
      <c r="D15" s="102" t="n">
        <v>1050</v>
      </c>
      <c r="E15" s="102">
        <f>B15*C15*D15</f>
        <v/>
      </c>
      <c r="F15" s="102">
        <f>E15*0.13</f>
        <v/>
      </c>
      <c r="G15" s="102" t="n">
        <v>0</v>
      </c>
      <c r="H15" s="102" t="n">
        <v>40000</v>
      </c>
      <c r="I15" s="102">
        <f>E15+F15+G15+H15</f>
        <v/>
      </c>
    </row>
    <row r="16">
      <c r="A16" s="99" t="inlineStr">
        <is>
          <t>Azure Local/HV (130 apps)</t>
        </is>
      </c>
      <c r="B16" s="100" t="n">
        <v>305</v>
      </c>
      <c r="C16" s="100" t="n">
        <v>14</v>
      </c>
      <c r="D16" s="102" t="n">
        <v>1050</v>
      </c>
      <c r="E16" s="102">
        <f>B16*C16*D16</f>
        <v/>
      </c>
      <c r="F16" s="102">
        <f>E16*0.13</f>
        <v/>
      </c>
      <c r="G16" s="102" t="n">
        <v>0</v>
      </c>
      <c r="H16" s="102" t="n">
        <v>40000</v>
      </c>
      <c r="I16" s="10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03" t="n">
        <v>10840125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4">
        <f>I20-I18</f>
        <v/>
      </c>
    </row>
    <row r="23">
      <c r="A23" s="29" t="inlineStr">
        <is>
          <t>Tool: AWS Transform+Kiro</t>
        </is>
      </c>
    </row>
    <row r="24">
      <c r="A24" s="105" t="inlineStr">
        <is>
          <t>AWS-native: best for AWS. Azure/AzLocal use industry-std tools (50-52%)</t>
        </is>
      </c>
    </row>
    <row r="25">
      <c r="A25" s="106" t="inlineStr">
        <is>
          <t>CAVEAT: Yellow rows = Azure/AzLocal use industry-standard tools (50-52% savings), NOT AWS-native tools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2026-04-02T20:33:12Z</dcterms:modified>
</cp:coreProperties>
</file>