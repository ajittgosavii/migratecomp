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Matilda Cloud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0.32</v>
      </c>
      <c r="C6" s="5" t="inlineStr">
        <is>
          <t>68% savings. Matilda auto-discovery is mature (agentless + agent-based), covers VMware/Hyper-V/physical well. Lacks unified multi-cloud single-pane — separate scans per platform need manual merging. [Ref: Gartner MQ 2024 + Matilda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Matilda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0.38</v>
      </c>
      <c r="C7" s="5" t="inlineStr">
        <is>
          <t>62% savings. Matilda dependency mapping uses network flow + process-level analysis. Good for standard dependencies but limited AI-augmented pattern detection for complex cross-app chains. [Ref: Gartner 2024 - Matilda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Matilda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0.35</v>
      </c>
      <c r="C8" s="5" t="inlineStr">
        <is>
          <t>65% savings. Matilda integrates with AWS SCT/Azure DMA for schema analysis. Standard tool integration — no additional AI-assisted fix layer beyond what SCT provides. [Ref: AWS SCT docs + Matilda integration docs]</t>
        </is>
      </c>
      <c r="D8" s="5" t="inlineStr">
        <is>
          <t>Manual schema review, stored proc analysis, compatibility matrix building</t>
        </is>
      </c>
      <c r="E8" s="5" t="inlineStr">
        <is>
          <t>Matilda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</v>
      </c>
      <c r="C9" s="5" t="inlineStr">
        <is>
          <t>70% savings. Matilda collects performance metrics via APIs — similar to industry standard. CloudWatch/Azure Monitor integration is well-implemented. [Ref: AWS CloudWatch + Matilda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Matilda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0.5</v>
      </c>
      <c r="C10" s="5" t="inlineStr">
        <is>
          <t>50% savings. Matilda has basic compliance checking but no dedicated compliance microservice. NERC CIP evidence collection is largely manual regardless of tool. [Ref: NERC CIP requirements + Matilda docs]</t>
        </is>
      </c>
      <c r="D10" s="5" t="inlineStr">
        <is>
          <t>Manual control review, evidence collection, policy mapping, regulatory documentation</t>
        </is>
      </c>
      <c r="E10" s="5" t="inlineStr">
        <is>
          <t>Matilda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0.42</v>
      </c>
      <c r="C11" s="5" t="inlineStr">
        <is>
          <t>58% savings. Matilda has license tracking module but limited AI-driven BYOL eligibility analysis. Standard CMDB-driven approach. [Ref: Flexera 2024 + Matilda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Matilda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0.3</v>
      </c>
      <c r="C12" s="5" t="inlineStr">
        <is>
          <t>70% savings. Matilda has solid TCO modeling with cloud pricing integration. Covers AWS + Azure but requires separate runs per cloud — no single multi-cloud comparison view. [Ref: AWS Pricing + Matilda cost module]</t>
        </is>
      </c>
      <c r="D12" s="5" t="inlineStr">
        <is>
          <t>Manual spreadsheet modeling, vendor quote gathering, assumption documentation</t>
        </is>
      </c>
      <c r="E12" s="5" t="inlineStr">
        <is>
          <t>Matilda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0.38</v>
      </c>
      <c r="C13" s="5" t="inlineStr">
        <is>
          <t>62% savings. Matilda wave planning uses dependency data + configurable rules. Functional but rule-based rather than AI-optimized — adequate for most scenarios. [Ref: McKinsey 2023 + Matilda wave planner]</t>
        </is>
      </c>
      <c r="D13" s="5" t="inlineStr">
        <is>
          <t>Manual dependency review, stakeholder negotiation, change window scheduling</t>
        </is>
      </c>
      <c r="E13" s="5" t="inlineStr">
        <is>
          <t>Matilda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0.35</v>
      </c>
      <c r="C14" s="5" t="inlineStr">
        <is>
          <t>65% savings (validation only — PG&amp;E provides LZ). Matilda has LZ templates but limited auto-validation capability. [Ref: AWS Landing Zone Accelerator + Matilda docs]</t>
        </is>
      </c>
      <c r="D14" s="5" t="inlineStr">
        <is>
          <t>Manual architecture review, compliance gap analysis, design documentation</t>
        </is>
      </c>
      <c r="E14" s="5" t="inlineStr">
        <is>
          <t>Matilda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</v>
      </c>
      <c r="C15" s="5" t="inlineStr">
        <is>
          <t>70% savings. Matilda generates Terraform/CloudFormation templates from discovery. Good template library but less dynamic auto-population from live inventory vs purpose-built IaC generators. [Ref: HashiCorp 2024 + Matilda IaC module]</t>
        </is>
      </c>
      <c r="D15" s="5" t="inlineStr">
        <is>
          <t>Manual HCL writing, module development, testing, review iterations</t>
        </is>
      </c>
      <c r="E15" s="5" t="inlineStr">
        <is>
          <t>Matilda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0.45</v>
      </c>
      <c r="C16" s="5" t="inlineStr">
        <is>
          <t>55% savings (Industry std: 60%). Matilda has limited containerization support — basic Dockerfile templates but no AI source-code analysis for runtime dependency detection. Containerization is not Matilda core strength. [Ref: CNCF 2024 + Matilda product scope]</t>
        </is>
      </c>
      <c r="D16" s="5" t="inlineStr">
        <is>
          <t>Manual Dockerfile creation, K8s manifest writing, Helm chart development</t>
        </is>
      </c>
      <c r="E16" s="5" t="inlineStr">
        <is>
          <t>Matilda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0.58</v>
      </c>
      <c r="C17" s="5" t="inlineStr">
        <is>
          <t>42% savings. Matilda does not provide framework upgrade assistance — this is outside Matilda platform scope. Standard developer tooling (IDE + Copilot) applies. [Ref: Matilda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Matilda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0.58</v>
      </c>
      <c r="C18" s="5" t="inlineStr">
        <is>
          <t>42% savings. Matilda has limited middleware migration support — basic config export for common middleware but no deep plugin compatibility analysis. [Ref: Matilda product scope]</t>
        </is>
      </c>
      <c r="D18" s="5" t="inlineStr">
        <is>
          <t>Manual config extraction, version migration, plugin compatibility testing</t>
        </is>
      </c>
      <c r="E18" s="5" t="inlineStr">
        <is>
          <t>Matilda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0.4</v>
      </c>
      <c r="C19" s="5" t="inlineStr">
        <is>
          <t>60% savings. Matilda wraps standard SCT/DMA — no additional AI-assisted fix layer. Complex stored proc conversion remains fully manual DBA work. [Ref: AWS SCT tiers + Matilda DB module]</t>
        </is>
      </c>
      <c r="D19" s="5" t="inlineStr">
        <is>
          <t>Manual stored proc rewriting, trigger conversion, cross-DB reference resolution</t>
        </is>
      </c>
      <c r="E19" s="5" t="inlineStr">
        <is>
          <t>Matilda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0.43</v>
      </c>
      <c r="C20" s="5" t="inlineStr">
        <is>
          <t>57% savings. Matilda has workflow-based rehearsal execution. Good orchestration but limited automated outcome validation — manual checklist-based verification. [Ref: Matilda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Matilda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0.38</v>
      </c>
      <c r="C21" s="5" t="inlineStr">
        <is>
          <t>62% savings. Matilda core strength — excellent rehost automation with MGN/ASR orchestration. Cutover workflow well-integrated. One of Matilda best features. [Ref: AWS MGN + Gartner + Matilda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Matilda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0.45</v>
      </c>
      <c r="C22" s="5" t="inlineStr">
        <is>
          <t>55% savings. Matilda supports basic replatform workflows (OS upgrade scripts) but less automated pre/post validation than purpose-built platforms. [Ref: Industry avg + Matilda replatform module]</t>
        </is>
      </c>
      <c r="D22" s="5" t="inlineStr">
        <is>
          <t>Manual OS patching, DB upgrade, compatibility testing, validation</t>
        </is>
      </c>
      <c r="E22" s="5" t="inlineStr">
        <is>
          <t>Matilda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0.48</v>
      </c>
      <c r="C23" s="5" t="inlineStr">
        <is>
          <t>52% savings. Matilda has limited native containerization execution — relies on external CI/CD (Jenkins/GitHub Actions). No pre-configured pipeline from artifact generation. [Ref: CNCF 2024 + Matilda product scope]</t>
        </is>
      </c>
      <c r="D23" s="5" t="inlineStr">
        <is>
          <t>Manual Docker build, push, K8s deploy, smoke test, config tuning</t>
        </is>
      </c>
      <c r="E23" s="5" t="inlineStr">
        <is>
          <t>Matilda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0.55</v>
      </c>
      <c r="C24" s="5" t="inlineStr">
        <is>
          <t>45% savings. Matilda has no native test generation capability. Testing relies on external test automation frameworks (Selenium, Cypress). No AI-assisted test case generation. [Ref: Forrester TEI + Matilda product scope]</t>
        </is>
      </c>
      <c r="D24" s="5" t="inlineStr">
        <is>
          <t>Manual test case design, execution, defect logging, root cause analysis</t>
        </is>
      </c>
      <c r="E24" s="5" t="inlineStr">
        <is>
          <t>No Matilda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0.53</v>
      </c>
      <c r="C25" s="5" t="inlineStr">
        <is>
          <t>47% savings. Matilda has no performance test generation. Relies on external JMeter/Gatling. No auto-generated load scripts from traffic patterns. [Ref: Gartner + Matilda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Matilda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0.3</v>
      </c>
      <c r="C26" s="5" t="inlineStr">
        <is>
          <t>70% savings. Matilda integrates with cloud-native right-sizing tools (Compute Optimizer, Azure Advisor). Similar to industry standard — adds management layer. [Ref: AWS Compute Optimizer + Matilda optimization module]</t>
        </is>
      </c>
      <c r="D26" s="5" t="inlineStr">
        <is>
          <t>Manual CloudWatch analysis, sizing spreadsheets, vendor benchmarking</t>
        </is>
      </c>
      <c r="E26" s="5" t="inlineStr">
        <is>
          <t>Matilda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0.45</v>
      </c>
      <c r="C27" s="5" t="inlineStr">
        <is>
          <t>55% savings. Matilda has basic monitoring template deployment but limited auto-generation from discovery metadata. Standard CloudWatch/Azure Monitor setup required. [Ref: Datadog/Grafana + Matilda docs]</t>
        </is>
      </c>
      <c r="D27" s="5" t="inlineStr">
        <is>
          <t>Manual dashboard creation, alert configuration, SLO definition, escalation setup</t>
        </is>
      </c>
      <c r="E27" s="5" t="inlineStr">
        <is>
          <t>Matilda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0.38</v>
      </c>
      <c r="C28" s="5" t="inlineStr">
        <is>
          <t>62% savings. Matilda is not a vulnerability management platform — requires separate Nessus/Qualys integration. No migration-context-aware CVSS triage. [Ref: Tenable/Qualys + Matilda product scope]</t>
        </is>
      </c>
      <c r="D28" s="5" t="inlineStr">
        <is>
          <t>Manual scan scheduling, CSV export, CVSS triage, false positive validation</t>
        </is>
      </c>
      <c r="E28" s="5" t="inlineStr">
        <is>
          <t>Matilda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0.48</v>
      </c>
      <c r="C29" s="5" t="inlineStr">
        <is>
          <t>52% savings. Matilda has no native vuln remediation planning. Separate ServiceNow/JIRA workflows required. No migration-aware patch scheduling. [Ref: ServiceNow VR + Matilda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Matilda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0.48</v>
      </c>
      <c r="C30" s="5" t="inlineStr">
        <is>
          <t>52% savings. Matilda does not include patch management — requires separate SSM/Ansible. No auto-generated compliance evidence trail. [Ref: AWS SSM + Matilda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Matilda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0.45</v>
      </c>
      <c r="C31" s="5" t="inlineStr">
        <is>
          <t>55% savings. Matilda does not provide continuous vulnerability monitoring. Requires separate Nessus/Qualys scheduled scans + manual JIRA ticketing. [Ref: Industry avg + Matilda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Matilda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Matilda Cloud (Industry std: ~59% | McKinsey benchmark: 40-60%)</t>
        </is>
      </c>
    </row>
    <row r="74">
      <c r="A74" s="8" t="inlineStr">
        <is>
          <t>Matilda is at industry standard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Matilda Cloud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Matilda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Matilda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Matilda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Matilda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Matilda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Matilda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Matilda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Matilda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Matilda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Matilda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Matilda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Matilda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Matilda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Matilda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Matilda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Matilda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Matilda: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Matilda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Matilda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Matilda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Matilda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Matilda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Matilda: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Matilda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Matilda: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Matilda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Matilda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Matilda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Matilda: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Matilda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Matilda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Matilda Rehost: Strong MGN/ASR orchestration + cutover — Matilda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Matilda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Matilda: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Matilda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Matilda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Matilda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Matilda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Matilda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Matilda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Matilda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Matilda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Matilda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Matilda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Matilda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Matilda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Matilda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Matilda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Matilda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Matilda: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Matilda: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Matilda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Matilda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Matilda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72</v>
      </c>
      <c r="D35" s="7" t="n">
        <v>30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115</v>
      </c>
      <c r="D36" s="7" t="n">
        <v>48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90</v>
      </c>
      <c r="D37" s="7" t="n">
        <v>38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48</v>
      </c>
      <c r="D38" s="7" t="n">
        <v>20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14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56</v>
      </c>
      <c r="D40" s="7" t="n">
        <v>24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15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22</v>
      </c>
      <c r="D42" s="7" t="n">
        <v>9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72</v>
      </c>
      <c r="D43" s="7" t="n">
        <v>30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52</v>
      </c>
      <c r="D44" s="7" t="n">
        <v>22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Matilda Cloud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Matilda Cloud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Matilda Cloud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Matilda Cloud vs Industry Standard — Honest Benchmark Comparison</t>
        </is>
      </c>
    </row>
    <row r="2">
      <c r="A2" s="2" t="inlineStr">
        <is>
          <t>Industry = Generic tooling (AWS Migration Hub + separate SCT + separate Terraform + manual glue) | Matilda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Matilda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Matilda Cloud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Matilda Cloud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Matilda Cloud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Matilda Cloud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Matilda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Matilda Cloud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0.42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8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0.42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98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0.42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224</v>
      </c>
      <c r="C14" s="5" t="n">
        <v>4</v>
      </c>
      <c r="D14" s="22" t="n">
        <v>1050</v>
      </c>
      <c r="E14" s="22">
        <f>B14*C14*D14</f>
        <v/>
      </c>
      <c r="F14" s="22">
        <f>E14*0.13</f>
        <v/>
      </c>
      <c r="G14" s="22" t="n">
        <v>20000</v>
      </c>
      <c r="H14" s="22" t="n">
        <v>20000</v>
      </c>
      <c r="I14" s="22">
        <f>E14+F14+G14+H14</f>
        <v/>
      </c>
    </row>
    <row r="15">
      <c r="A15" s="98" t="inlineStr">
        <is>
          <t>Azure (145 apps)</t>
        </is>
      </c>
      <c r="B15" s="5" t="n">
        <v>226</v>
      </c>
      <c r="C15" s="5" t="n">
        <v>5</v>
      </c>
      <c r="D15" s="22" t="n">
        <v>1050</v>
      </c>
      <c r="E15" s="22">
        <f>B15*C15*D15</f>
        <v/>
      </c>
      <c r="F15" s="22">
        <f>E15*0.13</f>
        <v/>
      </c>
      <c r="G15" s="22" t="n">
        <v>20000</v>
      </c>
      <c r="H15" s="22" t="n">
        <v>20000</v>
      </c>
      <c r="I15" s="22">
        <f>E15+F15+G15+H15</f>
        <v/>
      </c>
    </row>
    <row r="16">
      <c r="A16" s="98" t="inlineStr">
        <is>
          <t>Azure Local/HV (130 apps)</t>
        </is>
      </c>
      <c r="B16" s="5" t="n">
        <v>246</v>
      </c>
      <c r="C16" s="5" t="n">
        <v>5</v>
      </c>
      <c r="D16" s="22" t="n">
        <v>1050</v>
      </c>
      <c r="E16" s="22">
        <f>B16*C16*D16</f>
        <v/>
      </c>
      <c r="F16" s="22">
        <f>E16*0.13</f>
        <v/>
      </c>
      <c r="G16" s="22" t="n">
        <v>20000</v>
      </c>
      <c r="H16" s="22" t="n">
        <v>20000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99" t="n">
        <v>10174500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0">
        <f>I20-I18</f>
        <v/>
      </c>
    </row>
    <row r="23">
      <c r="A23" s="29" t="inlineStr">
        <is>
          <t>Tool: Matilda Cloud</t>
        </is>
      </c>
    </row>
    <row r="24">
      <c r="A24" s="101" t="inlineStr">
        <is>
          <t>Full multi-cloud coverage across AWS + Azure + Azure Local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2026-04-02T18:52:08Z</dcterms:created>
  <dcterms:modified xmlns:dcterms="http://purl.org/dc/terms/" xmlns:xsi="http://www.w3.org/2001/XMLSchema-instance" xsi:type="dcterms:W3CDTF">2026-04-02T23:38:56Z</dcterms:modified>
</cp:coreProperties>
</file>