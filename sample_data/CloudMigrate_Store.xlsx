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M vs Matilda Summary" sheetId="8" state="visible" r:id="rId8"/>
    <sheet xmlns:r="http://schemas.openxmlformats.org/officeDocument/2006/relationships" name="Agentic AI Comparison" sheetId="9" state="visible" r:id="rId9"/>
    <sheet xmlns:r="http://schemas.openxmlformats.org/officeDocument/2006/relationships" name="Cost by Clou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$#,##0"/>
    <numFmt numFmtId="166" formatCode="0&quot;%&quot;"/>
    <numFmt numFmtId="167" formatCode="0.0%"/>
    <numFmt numFmtId="168" formatCode="+0%;-0%"/>
    <numFmt numFmtId="169" formatCode="0.0&quot;%&quot;"/>
  </numFmts>
  <fonts count="4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  <sz val="12"/>
    </font>
    <font>
      <b val="1"/>
      <color rgb="00006100"/>
      <sz val="14"/>
    </font>
    <font>
      <b val="1"/>
      <color rgb="00C00000"/>
      <sz val="14"/>
    </font>
    <font>
      <color rgb="00C00000"/>
    </font>
    <font>
      <b val="1"/>
      <color rgb="002E75B6"/>
      <sz val="9"/>
    </font>
    <font>
      <b val="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164" fontId="21" fillId="0" borderId="1" pivotButton="0" quotePrefix="0" xfId="0"/>
    <xf numFmtId="165" fontId="0" fillId="0" borderId="0" pivotButton="0" quotePrefix="0" xfId="0"/>
    <xf numFmtId="169" fontId="11" fillId="7" borderId="1" pivotButton="0" quotePrefix="0" xfId="0"/>
    <xf numFmtId="0" fontId="32" fillId="0" borderId="1" pivotButton="0" quotePrefix="0" xfId="0"/>
    <xf numFmtId="168" fontId="0" fillId="6" borderId="1" pivotButton="0" quotePrefix="0" xfId="0"/>
    <xf numFmtId="168" fontId="0" fillId="7" borderId="1" pivotButton="0" quotePrefix="0" xfId="0"/>
    <xf numFmtId="168" fontId="0" fillId="0" borderId="1" pivotButton="0" quotePrefix="0" xfId="0"/>
    <xf numFmtId="0" fontId="37" fillId="0" borderId="0" pivotButton="0" quotePrefix="0" xfId="0"/>
    <xf numFmtId="0" fontId="38" fillId="0" borderId="0" pivotButton="0" quotePrefix="0" xfId="0"/>
    <xf numFmtId="0" fontId="12" fillId="4" borderId="0" pivotButton="0" quotePrefix="0" xfId="0"/>
    <xf numFmtId="0" fontId="21" fillId="6" borderId="1" pivotButton="0" quotePrefix="0" xfId="0"/>
    <xf numFmtId="0" fontId="39" fillId="11" borderId="1" pivotButton="0" quotePrefix="0" xfId="0"/>
    <xf numFmtId="0" fontId="40" fillId="0" borderId="1" pivotButton="0" quotePrefix="0" xfId="0"/>
    <xf numFmtId="0" fontId="0" fillId="7" borderId="1" pivotButton="0" quotePrefix="0" xfId="0"/>
    <xf numFmtId="0" fontId="39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1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CloudMigrate.store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Duration (Days)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Summary'!$G$8</f>
            </numRef>
          </val>
        </ser>
        <ser>
          <idx val="1"/>
          <order val="1"/>
          <tx>
            <strRef>
              <f>'CM vs Matilda Summary'!H7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Summary'!$H$8</f>
            </numRef>
          </val>
        </ser>
        <ser>
          <idx val="2"/>
          <order val="2"/>
          <tx>
            <strRef>
              <f>'CM vs Matilda Summary'!I7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Summary'!$I$8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Total Cost ($)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Summary'!G10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Summary'!$G$11</f>
            </numRef>
          </val>
        </ser>
        <ser>
          <idx val="1"/>
          <order val="1"/>
          <tx>
            <strRef>
              <f>'CM vs Matilda Summary'!H10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Summary'!$H$11</f>
            </numRef>
          </val>
        </ser>
        <ser>
          <idx val="2"/>
          <order val="2"/>
          <tx>
            <strRef>
              <f>'CM vs Matilda Summary'!I10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2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0.28</v>
      </c>
      <c r="C6" s="5" t="inlineStr">
        <is>
          <t>72% savings (Industry std: 65%). CloudMigrate unified multi-cloud scan adds +7% over separate tools by eliminating 3-5 days of cross-cloud reconciliation for 4273 servers. [Ref: Gartner 2024 + CloudMigrate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vCenter/AD/SCCM API scan + CMDB correlation; manual reconciliation still needed for legacy, air-gapped, undocumented systems</t>
        </is>
      </c>
      <c r="F6" s="5" t="inlineStr">
        <is>
          <t>35%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 (Industry std: 60%). CloudMigrate AI graph builder catches cross-app patterns that individual tools miss, reduces manual interview rounds from 3 to 1. [Ref: Gartner 2024 + CloudMigrate benchmark]</t>
        </is>
      </c>
      <c r="D7" s="5" t="inlineStr">
        <is>
          <t>Manual interviews with app owners, network trace analysis, cross-team dependency workshops</t>
        </is>
      </c>
      <c r="E7" s="5" t="inlineStr">
        <is>
          <t>Network flow analysis + port mapping + AI graph; manual validation workshops still critical for accuracy</t>
        </is>
      </c>
      <c r="F7" s="5" t="inlineStr">
        <is>
          <t>40%</t>
        </is>
      </c>
    </row>
    <row r="8">
      <c r="A8" s="5" t="inlineStr">
        <is>
          <t>Database Analysis</t>
        </is>
      </c>
      <c r="B8" s="6" t="n">
        <v>0.3</v>
      </c>
      <c r="C8" s="5" t="inlineStr">
        <is>
          <t>70% savings (Industry std: 65%). CloudMigrate DB Remediation Engine adds AI-suggested fixes beyond SCT reporting, saving DBA manual effort on repetitive patterns. [Ref: AWS SCT docs + CloudMigrate DB engine benchmark]</t>
        </is>
      </c>
      <c r="D8" s="5" t="inlineStr">
        <is>
          <t>Manual schema review, stored proc analysis, compatibility matrix building</t>
        </is>
      </c>
      <c r="E8" s="5" t="inlineStr">
        <is>
          <t>AWS SCT/Azure DMA automated scan + compatibility report; manual review for complex PL/SQL, T-SQL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Metric collection is fully automated via APIs, but baseline analysis, anomaly identification, and threshold setting require human judgment. [Ref: AWS CloudWatch + custom baselining]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API-driven metric aggregation + statistical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0.48</v>
      </c>
      <c r="C10" s="5" t="inlineStr">
        <is>
          <t>52% savings (Industry std: 50%). CloudMigrate MCP compliance-framework provides structured gap reporting; marginal +2% — NERC CIP evidence collection remains manual-heavy. [Ref: NERC CIP + CloudMigrate compliance service]</t>
        </is>
      </c>
      <c r="D10" s="5" t="inlineStr">
        <is>
          <t>Manual control review, evidence collection, policy mapping, regulatory documentation</t>
        </is>
      </c>
      <c r="E10" s="5" t="inlineStr">
        <is>
          <t>Automated compliance scanning + gap detection; manual evidence collection, NERC CIP sign-off mandatory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</v>
      </c>
      <c r="C11" s="5" t="inlineStr">
        <is>
          <t>60% savings. CMDB-driven license scanning identifies ~60-70% of license entitlements, but vendor contract interpretation, BYOL eligibility negotiation remain manual. [Ref: Flexera State of IT 2024]</t>
        </is>
      </c>
      <c r="D11" s="5" t="inlineStr">
        <is>
          <t>Manual license inventory, vendor contract review, BYOL eligibility assessment</t>
        </is>
      </c>
      <c r="E11" s="5" t="inlineStr">
        <is>
          <t>CMDB-driven license scan + cloud pricing correlation; vendor contract review still manual</t>
        </is>
      </c>
      <c r="F11" s="5" t="inlineStr">
        <is>
          <t>40%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 (Industry std: 70%). CloudMigrate MCP cloud-cost service generates unified multi-cloud TCO auto-linked to actual discovered inventory vs manual calculator input. [Ref: AWS Pricing + Cobalt benchmarks]</t>
        </is>
      </c>
      <c r="D12" s="5" t="inlineStr">
        <is>
          <t>Manual spreadsheet modeling, vendor quote gathering, assumption documentation</t>
        </is>
      </c>
      <c r="E12" s="5" t="inlineStr">
        <is>
          <t>Auto-generated TCO from discovery + live cloud pricing APIs; manual for EDP/RI assumptions, stakeholder review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 (Industry std: 60%). CloudMigrate graph-based wave optimizer with parallel simulation generates optimal wave plans faster than manual spreadsheet analysis. [Ref: McKinsey 2023 + CloudMigrate wave planner]</t>
        </is>
      </c>
      <c r="D13" s="5" t="inlineStr">
        <is>
          <t>Manual dependency review, stakeholder negotiation, change window scheduling</t>
        </is>
      </c>
      <c r="E13" s="5" t="inlineStr">
        <is>
          <t>Graph-based optimization + risk-weighted scheduling; stakeholder alignment and change windows manual</t>
        </is>
      </c>
      <c r="F13" s="5" t="inlineStr">
        <is>
          <t>40%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since PG&amp;E provides LZ). Template-based validation fast, but custom PG&amp;E requirements need manual gap analysis. [Ref: AWS Landing Zone Accelerator]</t>
        </is>
      </c>
      <c r="D14" s="5" t="inlineStr">
        <is>
          <t>Manual architecture review, compliance gap analysis, design documentation</t>
        </is>
      </c>
      <c r="E14" s="5" t="inlineStr">
        <is>
          <t>Template-based validation + automated readiness check; manual for PG&amp;E-specific customizations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0.25</v>
      </c>
      <c r="C15" s="5" t="inlineStr">
        <is>
          <t>75% savings (Industry std: 70%). CloudMigrate MCP terraform-gen auto-populates HCL from discovery data, eliminating manual inventory-to-variable translation. [Ref: HashiCorp 2024 + CloudMigrate terraform-gen]</t>
        </is>
      </c>
      <c r="D15" s="5" t="inlineStr">
        <is>
          <t>Manual HCL writing, module development, testing, review iterations</t>
        </is>
      </c>
      <c r="E15" s="5" t="inlineStr">
        <is>
          <t>Auto-generated Terraform from discovery + template library; manual for module customization, PR review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0.35</v>
      </c>
      <c r="C16" s="5" t="inlineStr">
        <is>
          <t>65% savings (Industry std: 60%). CloudMigrate AI source-code analysis generates stack-aware Dockerfiles+K8s manifests, catching runtime dependencies generic tools miss. [Ref: CNCF 2024 + CloudMigrate container engine]</t>
        </is>
      </c>
      <c r="D16" s="5" t="inlineStr">
        <is>
          <t>Manual Dockerfile creation, K8s manifest writing, Helm chart development</t>
        </is>
      </c>
      <c r="E16" s="5" t="inlineStr">
        <is>
          <t>Source code analysis + Dockerfile/manifest auto-gen; manual for custom configs, runtime dependencies</t>
        </is>
      </c>
      <c r="F16" s="5" t="inlineStr">
        <is>
          <t>40%</t>
        </is>
      </c>
    </row>
    <row r="17">
      <c r="A17" s="5" t="inlineStr">
        <is>
          <t>Framework Upgrades</t>
        </is>
      </c>
      <c r="B17" s="6" t="n">
        <v>0.53</v>
      </c>
      <c r="C17" s="5" t="inlineStr">
        <is>
          <t>47% savings (Industry std: 45%). CloudMigrate Upgrade Advisor adds migration-context-aware breaking change detection; code changes still largely manual. [Ref: GitHub Copilot + CloudMigrate upgrade advisor]</t>
        </is>
      </c>
      <c r="D17" s="5" t="inlineStr">
        <is>
          <t>Manual code refactoring, dependency updates, regression fixing, build testing</t>
        </is>
      </c>
      <c r="E17" s="5" t="inlineStr">
        <is>
          <t>AI-identified upgrade paths + breaking change detection; code changes semi-manual with AI assist</t>
        </is>
      </c>
      <c r="F17" s="5" t="inlineStr">
        <is>
          <t>55%</t>
        </is>
      </c>
    </row>
    <row r="18">
      <c r="A18" s="5" t="inlineStr">
        <is>
          <t>Middleware Migration</t>
        </is>
      </c>
      <c r="B18" s="6" t="n">
        <v>0.53</v>
      </c>
      <c r="C18" s="5" t="inlineStr">
        <is>
          <t>47% savings (Industry std: 45%). CloudMigrate config extractor provides partial automation; custom plugins and job scheduling logic remain manual. [Ref: Industry avg + CloudMigrate config extractor]</t>
        </is>
      </c>
      <c r="D18" s="5" t="inlineStr">
        <is>
          <t>Manual config extraction, version migration, plugin compatibility testing</t>
        </is>
      </c>
      <c r="E18" s="5" t="inlineStr">
        <is>
          <t>Config extraction + partial automation; manual for custom plugins, job scheduling logic</t>
        </is>
      </c>
      <c r="F18" s="5" t="inlineStr">
        <is>
          <t>55%</t>
        </is>
      </c>
    </row>
    <row r="19">
      <c r="A19" s="5" t="inlineStr">
        <is>
          <t>Schema Conversion</t>
        </is>
      </c>
      <c r="B19" s="6" t="n">
        <v>0.35</v>
      </c>
      <c r="C19" s="5" t="inlineStr">
        <is>
          <t>65% savings (Industry std: 60%). CloudMigrate DB Remediation Engine provides AI pattern matching for common PL/SQL-to-PostgreSQL transforms beyond SCT. [Ref: AWS SCT tiers + CloudMigrate DB remediation]</t>
        </is>
      </c>
      <c r="D19" s="5" t="inlineStr">
        <is>
          <t>Manual stored proc rewriting, trigger conversion, cross-DB reference resolution</t>
        </is>
      </c>
      <c r="E19" s="5" t="inlineStr">
        <is>
          <t>SCT auto-conversion (60-80% simple objects) + AI-assisted fix; manual for complex PL/SQL/T-SQL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 (Industry std: 55%). CloudMigrate orchestrated rehearsal + automated outcome validation saves 1-2 days per wave vs manual runbook execution. [Ref: AWS Playbook + CloudMigrate rehearsal engine]</t>
        </is>
      </c>
      <c r="D20" s="5" t="inlineStr">
        <is>
          <t>Manual rehearsal execution, validation checklist, defect logging, re-planning</t>
        </is>
      </c>
      <c r="E20" s="5" t="inlineStr">
        <is>
          <t>Orchestrated rehearsal + automated outcome validation; manual triage and re-planning from findings</t>
        </is>
      </c>
      <c r="F20" s="5" t="inlineStr">
        <is>
          <t>45%</t>
        </is>
      </c>
    </row>
    <row r="21">
      <c r="A21" s="5" t="inlineStr">
        <is>
          <t>Rehost Execution</t>
        </is>
      </c>
      <c r="B21" s="6" t="n">
        <v>0.37</v>
      </c>
      <c r="C21" s="5" t="inlineStr">
        <is>
          <t>63% savings (Industry std: 60%). CloudMigrate unified execution pipeline orchestrates MGN/ASR + cutover + DNS + validation, reducing handoff time. [Ref: AWS MGN + Gartner + CloudMigrate executor]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MGN/Azure ASR automated replication + cutover scheduling; manual for validation and rollback decisions</t>
        </is>
      </c>
      <c r="F21" s="5" t="inlineStr">
        <is>
          <t>40%</t>
        </is>
      </c>
    </row>
    <row r="22">
      <c r="A22" s="5" t="inlineStr">
        <is>
          <t>Replatform Execution</t>
        </is>
      </c>
      <c r="B22" s="6" t="n">
        <v>0.43</v>
      </c>
      <c r="C22" s="5" t="inlineStr">
        <is>
          <t>57% savings (Industry std: 55%). CloudMigrate auto-generates pre/post validation checks from discovery baselines, saving manual checklist creation. [Ref: Industry avg + CloudMigrate executor]</t>
        </is>
      </c>
      <c r="D22" s="5" t="inlineStr">
        <is>
          <t>Manual OS patching, DB upgrade, compatibility testing, validation</t>
        </is>
      </c>
      <c r="E22" s="5" t="inlineStr">
        <is>
          <t>Scripted OS/DB upgrades + automated pre/post validation; manual compatibility testing and sign-off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0.42</v>
      </c>
      <c r="C23" s="5" t="inlineStr">
        <is>
          <t>58% savings (Industry std: 55%). CloudMigrate pre-configured CI/CD from artifact gen phase eliminates manual pipeline setup; health checks auto-generated. [Ref: CNCF 2024 + CloudMigrate CI/CD]</t>
        </is>
      </c>
      <c r="D23" s="5" t="inlineStr">
        <is>
          <t>Manual Docker build, push, K8s deploy, smoke test, config tuning</t>
        </is>
      </c>
      <c r="E23" s="5" t="inlineStr">
        <is>
          <t>CI/CD pipeline build+push+deploy + automated health checks; manual smoke testing and config tuning</t>
        </is>
      </c>
      <c r="F23" s="5" t="inlineStr">
        <is>
          <t>45%</t>
        </is>
      </c>
    </row>
    <row r="24">
      <c r="A24" s="5" t="inlineStr">
        <is>
          <t>FR Testing (60%)</t>
        </is>
      </c>
      <c r="B24" s="6" t="n">
        <v>0.47</v>
      </c>
      <c r="C24" s="5" t="inlineStr">
        <is>
          <t>53% savings (Industry std: 50%). CloudMigrate AI test generator creates test cases from app behavior analysis, saving ~20-30% of test design time. [Ref: Forrester TEI + CloudMigrate test generator]</t>
        </is>
      </c>
      <c r="D24" s="5" t="inlineStr">
        <is>
          <t>Manual test case design, execution, defect logging, root cause analysis</t>
        </is>
      </c>
      <c r="E24" s="5" t="inlineStr">
        <is>
          <t>AI test generation + parallel automated execution; manual test design for business logic, defect triage</t>
        </is>
      </c>
      <c r="F24" s="5" t="inlineStr">
        <is>
          <t>50%</t>
        </is>
      </c>
    </row>
    <row r="25">
      <c r="A25" s="5" t="inlineStr">
        <is>
          <t>NFR Testing (30%)</t>
        </is>
      </c>
      <c r="B25" s="6" t="n">
        <v>0.48</v>
      </c>
      <c r="C25" s="5" t="inlineStr">
        <is>
          <t>52% savings (Industry std: 50%). CloudMigrate auto-generates load scripts from real traffic patterns — more representative than manually designed scenarios. [Ref: Gartner + CloudMigrate perf test gen]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Auto-generated load scripts from traffic patterns + AI performance analysis; manual scenario design</t>
        </is>
      </c>
      <c r="F25" s="5" t="inlineStr">
        <is>
          <t>50%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 (Industry std: 70%). CloudMigrate unified cross-cloud right-sizing adds comparison view; cloud-native tools already excellent individually. [Ref: AWS Compute Optimizer + CloudMigrate right-sizing]</t>
        </is>
      </c>
      <c r="D26" s="5" t="inlineStr">
        <is>
          <t>Manual CloudWatch analysis, sizing spreadsheets, vendor benchmarking</t>
        </is>
      </c>
      <c r="E26" s="5" t="inlineStr">
        <is>
          <t>ML-based 30-day usage analysis + automated SKU recommendation; human review for business constraints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0.43</v>
      </c>
      <c r="C27" s="5" t="inlineStr">
        <is>
          <t>57% savings (Industry std: 55%). CloudMigrate pre-built templates auto-deployed from discovery metadata; alert thresholds auto-suggested from baselines. [Ref: Datadog/Grafana + CloudMigrate monitoring templates]</t>
        </is>
      </c>
      <c r="D27" s="5" t="inlineStr">
        <is>
          <t>Manual dashboard creation, alert configuration, SLO definition, escalation setup</t>
        </is>
      </c>
      <c r="E27" s="5" t="inlineStr">
        <is>
          <t>Template deployment + standard alert rules; manual for PG&amp;E-specific SLOs and escalation policies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0.32</v>
      </c>
      <c r="C28" s="5" t="inlineStr">
        <is>
          <t>68% savings (Industry std: 65%). CloudMigrate migration-context-aware CVSS triage deprioritizes CVEs on servers being retired, prioritizes migrate-first targets. [Ref: Tenable/Qualys + CloudMigrate vuln scanner]</t>
        </is>
      </c>
      <c r="D28" s="5" t="inlineStr">
        <is>
          <t>Manual scan scheduling, CSV export, CVSS triage, false positive validation</t>
        </is>
      </c>
      <c r="E28" s="5" t="inlineStr">
        <is>
          <t>Automated scan orchestration + CVSS auto-categorization + false-positive filtering; manual for context-specific risk assessment</t>
        </is>
      </c>
      <c r="F28" s="5" t="inlineStr">
        <is>
          <t>35%</t>
        </is>
      </c>
    </row>
    <row r="29">
      <c r="A29" s="5" t="inlineStr">
        <is>
          <t>Vuln Remediation Planning</t>
        </is>
      </c>
      <c r="B29" s="6" t="n">
        <v>0.42</v>
      </c>
      <c r="C29" s="5" t="inlineStr">
        <is>
          <t>58% savings (Industry std: 55%). CloudMigrate migration-aware scheduling prevents patch-migrate conflicts; auto-generated runbooks save 1-2 days per wave. [Ref: ServiceNow VR + CloudMigrate vuln planner]</t>
        </is>
      </c>
      <c r="D29" s="5" t="inlineStr">
        <is>
          <t>Manual CVE-to-patch mapping, dependency analysis, change request creation, CAB scheduling</t>
        </is>
      </c>
      <c r="E29" s="5" t="inlineStr">
        <is>
          <t>AI-prioritized remediation plan + auto-generated runbooks; manual for dependency analysis and CAB approval</t>
        </is>
      </c>
      <c r="F29" s="5" t="inlineStr">
        <is>
          <t>45%</t>
        </is>
      </c>
    </row>
    <row r="30">
      <c r="A30" s="5" t="inlineStr">
        <is>
          <t>Vuln Patch Execution</t>
        </is>
      </c>
      <c r="B30" s="6" t="n">
        <v>0.43</v>
      </c>
      <c r="C30" s="5" t="inlineStr">
        <is>
          <t>57% savings (Industry std: 55%). CloudMigrate orchestrated patching with auto-generated NERC CIP compliance evidence trail. [Ref: AWS SSM + CloudMigrate patch executor]</t>
        </is>
      </c>
      <c r="D30" s="5" t="inlineStr">
        <is>
          <t>Manual patch deployment, snapshot creation, reboot coordination, compliance evidence</t>
        </is>
      </c>
      <c r="E30" s="5" t="inlineStr">
        <is>
          <t>SSM/Ansible automated patching + post-patch validation; manual for snapshots, rollback testing, NERC CIP evidence</t>
        </is>
      </c>
      <c r="F30" s="5" t="inlineStr">
        <is>
          <t>45%</t>
        </is>
      </c>
    </row>
    <row r="31">
      <c r="A31" s="5" t="inlineStr">
        <is>
          <t>Vuln Continuous Monitoring</t>
        </is>
      </c>
      <c r="B31" s="6" t="n">
        <v>0.38</v>
      </c>
      <c r="C31" s="5" t="inlineStr">
        <is>
          <t>62% savings (Industry std: 60%). CloudMigrate continuous scanning + auto-ticketing + Grafana vuln posture dashboard with SLA tracking. [Ref: Industry avg + CloudMigrate vuln monitor]</t>
        </is>
      </c>
      <c r="D31" s="5" t="inlineStr">
        <is>
          <t>Periodic manual scans, spreadsheet tracking, manual ticket creation, SLA monitoring</t>
        </is>
      </c>
      <c r="E31" s="5" t="inlineStr">
        <is>
          <t>Continuous scanning + auto-ticketing for new CVEs + SLA dashboards; manual for follow-up and exec reporting</t>
        </is>
      </c>
      <c r="F31" s="5" t="inlineStr">
        <is>
          <t>40%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~62% with CloudMigrate.store (Industry std: ~59% | McKinsey benchmark: 40-60%)</t>
        </is>
      </c>
    </row>
    <row r="74">
      <c r="A74" s="8" t="inlineStr">
        <is>
          <t>CloudMigrate premium: +3% over industry standard from unified multi-cloud integration &amp; pipeline automation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CloudMigrate.store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11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2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All VMs, physical, DBs, network discovered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Auto-Discovery Engine: vCenter/AD/SCCM scan, 29 component types detected, topology mapping</t>
        </is>
      </c>
      <c r="O7" s="14" t="inlineStr">
        <is>
          <t>Infrastructure Discovery</t>
        </is>
      </c>
      <c r="P7" s="14" t="inlineStr">
        <is>
          <t>COMPLETED - Phase 1 done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All 415 app dependencies mapped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Dependency Mapper: Network flow tracing, port analysis, CMDB correlation, dependency graph generation</t>
        </is>
      </c>
      <c r="O8" s="14" t="inlineStr">
        <is>
          <t>App Dependency Mapping</t>
        </is>
      </c>
      <c r="P8" s="14" t="inlineStr">
        <is>
          <t>COMPLETED - Phase 1 done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Schemas, stored procs analyzed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DB Analysis Agent: Schema compatibility scan, stored proc analysis, managed DB target recommendation</t>
        </is>
      </c>
      <c r="O9" s="14" t="inlineStr">
        <is>
          <t>Database Analysis</t>
        </is>
      </c>
      <c r="P9" s="14" t="inlineStr">
        <is>
          <t>COMPLETED - Phase 1 done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CPU, mem, IOPS baselines captured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Perf Baseline Agent: Automated metric aggregation, statistical baseline computation, anomaly detection</t>
        </is>
      </c>
      <c r="O10" s="14" t="inlineStr">
        <is>
          <t>Performance Baseline</t>
        </is>
      </c>
      <c r="P10" s="14" t="inlineStr">
        <is>
          <t>COMPLETED - Phase 1 done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NERC CIP compliance reviewed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Compliance Scanner: MCP compliance-framework service, NERC CIP gap detection, remediation recommendations</t>
        </is>
      </c>
      <c r="O11" s="14" t="inlineStr">
        <is>
          <t>Compliance &amp; Security</t>
        </is>
      </c>
      <c r="P11" s="14" t="inlineStr">
        <is>
          <t>COMPLETED - Phase 1 done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Oracle, SQL Server, SAP licenses audited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License Analyzer: CMDB license correlation, BYOL eligibility check, cloud pricing comparison</t>
        </is>
      </c>
      <c r="O12" s="14" t="inlineStr">
        <is>
          <t>License Analysis</t>
        </is>
      </c>
      <c r="P12" s="14" t="inlineStr">
        <is>
          <t>COMPLETED - Phase 1 done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TCO built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Cost Modeling Engine: MCP cloud-cost service, auto-TCO from discovery, multi-cloud comparison</t>
        </is>
      </c>
      <c r="O13" s="14" t="inlineStr">
        <is>
          <t>TCO / Cost Modeling</t>
        </is>
      </c>
      <c r="P13" s="14" t="inlineStr">
        <is>
          <t>COMPLETED - Phase 1 done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- 415 apps classified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Strategy Agent: AI 6R classification, journey recommendation per app profile, complexity scoring</t>
        </is>
      </c>
      <c r="O14" s="14" t="inlineStr">
        <is>
          <t>Wave Planning</t>
        </is>
      </c>
      <c r="P14" s="14" t="inlineStr">
        <is>
          <t>COMPLETED - Phase 1 done</t>
        </is>
      </c>
    </row>
    <row r="15">
      <c r="A15" s="5" t="n"/>
      <c r="B15" s="5" t="inlineStr">
        <is>
          <t>Vulnerability Baseline Scan [DONE]</t>
        </is>
      </c>
      <c r="C15" s="5" t="inlineStr">
        <is>
          <t>CyberSec</t>
        </is>
      </c>
      <c r="D15" s="5" t="inlineStr">
        <is>
          <t>COMPLETED - 4273 servers scanned, CVSS categorized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Vuln Scanner: Automated Nessus/Qualys orchestration, CVSS auto-triage, false-positive filtering, risk heatmap</t>
        </is>
      </c>
      <c r="O15" s="14" t="inlineStr">
        <is>
          <t>Vuln Discovery Scan</t>
        </is>
      </c>
      <c r="P15" s="14" t="inlineStr">
        <is>
          <t>COMPLETED - Phase 1 done</t>
        </is>
      </c>
    </row>
    <row r="16">
      <c r="A16" s="5" t="n"/>
      <c r="B16" s="5" t="inlineStr">
        <is>
          <t>Vuln Remediation Plan [DONE]</t>
        </is>
      </c>
      <c r="C16" s="5" t="inlineStr">
        <is>
          <t>CyberSec</t>
        </is>
      </c>
      <c r="D16" s="5" t="inlineStr">
        <is>
          <t>COMPLETED - Critical/high CVEs prioritized for remediation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Vuln Remediation Planner: AI-prioritized patch plan, runbook generation, change request drafts</t>
        </is>
      </c>
      <c r="O16" s="14" t="inlineStr">
        <is>
          <t>Vuln Remediation Planning</t>
        </is>
      </c>
      <c r="P16" s="14" t="inlineStr">
        <is>
          <t>COMPLETED - Phase 1 done</t>
        </is>
      </c>
    </row>
    <row r="17">
      <c r="A17" s="10" t="inlineStr">
        <is>
          <t>Phase 2: Planning &amp; Design</t>
        </is>
      </c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2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Wave Planner: Dependency-graph optimization, risk-weighted scheduling, parallel wave simulation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LZ Validator: Automated readiness check against migration requirements, gap report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LZ Validator: Automated readiness check against migration requirements, gap report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LZ Validator: Cluster config validation, capacity check for workload placement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Terraform Generator: MCP terraform-gen service, app-level HCL from discovery, PR-ready output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DB Migration Planner: DMS task design, CDC strategy recommendation, cutover window calculation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Container Architect Agent: Source code analysis, Docker/K8s architecture recommendation, manifest templates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Rollback Planner: Auto-generated rollback scripts per wave, DR validation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Business Impact Engine: Downtime cost calculator, user impact modeling, ROI projection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2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Executor: terraform apply for app-level resources in PG&amp;E-provided LZ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Executor: terraform apply for app-level resources in PG&amp;E-provided LZ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Onboarding Orchestrator: Workload placement optimization on PG&amp;E clusters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Container Generator: AI source-code analysis, Dockerfile/K8s manifest auto-generation, Helm chart creation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Upgrade Advisor: Dependency graph analysis, upgrade path recommendation, breaking change detection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Config Extractor: Middleware config extraction, job definition migration, partial automation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DB Remediation Engine: SCT auto-conversion +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Rehearsal Orchestrator: Automated rehearsal execution, outcome validation, gap detection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Test Generator: API connectivity test generation, data integrity validation scripts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Guardrails Engine: Pre-flight compliance scan, code security analysis, violation detection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Patch Executor: SSM/Ansible automated patching, post-patch validation, compliance verification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2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Execution Engine: Orchestrated pilot migration, automated validation, progress tracking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MGN/ASR Orchestrator: Automated replication, cutover scheduling, post-migration health check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Upgrade Executor: Scripted OS/DB upgrades, pre/post validation, automated smoke tests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CI/CD Pipeline: Docker build+push, K8s deployment, automated health checks, canary validation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Framework Migrator: Code transformation assistance, dependency resolution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Dependency Validator: Pre-retirement dependency check, safe decommission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DMS Orchestrator: CDC task creation, replication monitoring, cutover execution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DNS Cutover Engine: Automated DNS switch, traffic validation, rollback-ready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Rollback Engine: Pre-built rollback scripts, one-click execution, state restoration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Vuln Scanner: Post-migration scan, delta report vs baseline, new CVE detection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Patch Executor: Target-side patching via SSM/Ansible, automated post-patch health check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2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Test Suite Generator: AI-generated FR test cases, parallel automated execution, AI defect triage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Test Suite Generator: Targeted FR test generation for framework-changed components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Perf Test Generator: Auto-generated JMeter/Gatling scripts, AI performance analysis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Smoke Test Suite: Lightweight perf validation, baseline comparison, pass/fail automation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Security Scanner: Automated vuln scan, pen test assist, compliance report generation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UAT Dashboard: Test progress tracking, defect management, sign-off workflow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2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Right-Sizing Engine: ML-based 30-day usage analysis, optimal SKU recommendation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FinOps Engine: RI/SP recommendation, spot eligibility, daily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Monitoring Templates: Pre-built dashboards, alert rules, Grafana integration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Doc Generator: Auto-generated runbooks, architecture diagrams, migration audit trail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Decommission Validator: Dependency re-check, safe shutdown confirmation, audit log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Continuous Vuln Monitor: Scheduled scan config, CVSS threshold alerts, JIRA/ServiceNow auto-ticketing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Vuln Dashboard: Grafana vuln posture dashboard, CVSS trend charts, SLA compliance tracking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27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44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34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18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13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21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13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8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27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20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CloudMigrate.store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CloudMigrate.store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CloudMigrate.store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CloudMigrate.store vs Industry Standard — Honest Benchmark Comparison</t>
        </is>
      </c>
    </row>
    <row r="2">
      <c r="A2" s="2" t="inlineStr">
        <is>
          <t>Industry = Generic tooling (AWS Migration Hub + separate SCT + separate Terraform + manual glue) | CloudMigrate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CloudMigrate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CloudMigrate.store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CloudMigrate.store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CloudMigrate.store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CloudMigrate.store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CloudMigrate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6100"/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6" customWidth="1" min="4" max="4"/>
    <col width="16" customWidth="1" min="5" max="5"/>
    <col width="50" customWidth="1" min="6" max="6"/>
    <col width="14" customWidth="1" min="7" max="7"/>
    <col width="14" customWidth="1" min="8" max="8"/>
    <col width="14" customWidth="1" min="9" max="9"/>
  </cols>
  <sheetData>
    <row r="1">
      <c r="A1" s="43" t="inlineStr">
        <is>
          <t>CloudMigrate.store vs Matilda Cloud — Head-to-Head Comparison</t>
        </is>
      </c>
    </row>
    <row r="2">
      <c r="A2" s="2" t="inlineStr">
        <is>
          <t>PG&amp;E: 415 Apps | 4,273 Servers | Discovery &amp; Assessment COMPLETED | Remaining: Planning through Optimize</t>
        </is>
      </c>
    </row>
    <row r="4">
      <c r="A4" s="20" t="inlineStr">
        <is>
          <t>Section A: Timeline Comparison (Remaining Phases — Discovery DONE)</t>
        </is>
      </c>
    </row>
    <row r="5">
      <c r="A5" s="4" t="inlineStr">
        <is>
          <t>Metric</t>
        </is>
      </c>
      <c r="B5" s="4" t="inlineStr">
        <is>
          <t>Traditional</t>
        </is>
      </c>
      <c r="C5" s="4" t="inlineStr">
        <is>
          <t>CloudMigrate.store</t>
        </is>
      </c>
      <c r="D5" s="4" t="inlineStr">
        <is>
          <t>Matilda Cloud</t>
        </is>
      </c>
      <c r="E5" s="4" t="inlineStr">
        <is>
          <t>CM vs Matilda</t>
        </is>
      </c>
    </row>
    <row r="6">
      <c r="A6" s="78" t="inlineStr">
        <is>
          <t>Discovery &amp; Assessment</t>
        </is>
      </c>
      <c r="B6" s="5" t="inlineStr">
        <is>
          <t>COMPLETED</t>
        </is>
      </c>
      <c r="C6" s="5" t="inlineStr">
        <is>
          <t>COMPLETED</t>
        </is>
      </c>
      <c r="D6" s="5" t="inlineStr">
        <is>
          <t>COMPLETED</t>
        </is>
      </c>
      <c r="E6" s="40" t="inlineStr">
        <is>
          <t>Both done</t>
        </is>
      </c>
    </row>
    <row r="7">
      <c r="A7" s="78" t="inlineStr">
        <is>
          <t>Remaining Duration (Days)</t>
        </is>
      </c>
      <c r="B7" s="5" t="n">
        <v>553</v>
      </c>
      <c r="C7" s="5" t="n">
        <v>181</v>
      </c>
      <c r="D7" s="5" t="n">
        <v>200</v>
      </c>
      <c r="E7" s="40">
        <f>C7-D7</f>
        <v/>
      </c>
      <c r="G7" t="inlineStr">
        <is>
          <t>Traditional</t>
        </is>
      </c>
      <c r="H7" t="inlineStr">
        <is>
          <t>CloudMigrate</t>
        </is>
      </c>
      <c r="I7" t="inlineStr">
        <is>
          <t>Matilda</t>
        </is>
      </c>
    </row>
    <row r="8">
      <c r="A8" s="78" t="inlineStr">
        <is>
          <t>Remaining Duration (Months)</t>
        </is>
      </c>
      <c r="B8" s="24">
        <f>B7/22</f>
        <v/>
      </c>
      <c r="C8" s="24">
        <f>C7/22</f>
        <v/>
      </c>
      <c r="D8" s="24">
        <f>D7/22</f>
        <v/>
      </c>
      <c r="E8" s="96">
        <f>C8-D8</f>
        <v/>
      </c>
      <c r="G8" t="n">
        <v>553</v>
      </c>
      <c r="H8" t="n">
        <v>181</v>
      </c>
      <c r="I8" t="n">
        <v>200</v>
      </c>
    </row>
    <row r="9">
      <c r="A9" s="78" t="inlineStr">
        <is>
          <t>Time Saved vs Traditional (Days)</t>
        </is>
      </c>
      <c r="B9" s="5" t="inlineStr"/>
      <c r="C9" s="5">
        <f>B7-C7</f>
        <v/>
      </c>
      <c r="D9" s="5">
        <f>B7-D7</f>
        <v/>
      </c>
      <c r="E9" s="40">
        <f>C9-D9</f>
        <v/>
      </c>
    </row>
    <row r="10">
      <c r="A10" s="78" t="inlineStr">
        <is>
          <t>Time Saved vs Traditional (%)</t>
        </is>
      </c>
      <c r="B10" s="5" t="inlineStr"/>
      <c r="C10" s="24">
        <f>IF(B7&gt;0,(B7-C7)/B7*100,0)</f>
        <v/>
      </c>
      <c r="D10" s="24">
        <f>IF(B7&gt;0,(B7-D7)/B7*100,0)</f>
        <v/>
      </c>
      <c r="E10" s="96">
        <f>C10-D10</f>
        <v/>
      </c>
      <c r="G10" t="inlineStr">
        <is>
          <t>Traditional</t>
        </is>
      </c>
      <c r="H10" t="inlineStr">
        <is>
          <t>CloudMigrate</t>
        </is>
      </c>
      <c r="I10" t="inlineStr">
        <is>
          <t>Matilda</t>
        </is>
      </c>
    </row>
    <row r="11">
      <c r="A11" s="78" t="inlineStr">
        <is>
          <t>Estimated Completion</t>
        </is>
      </c>
      <c r="B11" s="5" t="inlineStr">
        <is>
          <t>~25 months</t>
        </is>
      </c>
      <c r="C11" s="5" t="inlineStr">
        <is>
          <t>~8 months</t>
        </is>
      </c>
      <c r="D11" s="5" t="inlineStr">
        <is>
          <t>~9 months</t>
        </is>
      </c>
      <c r="E11" s="40" t="inlineStr">
        <is>
          <t>CM 1 month faster</t>
        </is>
      </c>
      <c r="G11" s="97">
        <f>B34</f>
        <v/>
      </c>
      <c r="H11" s="97">
        <f>C34</f>
        <v/>
      </c>
      <c r="I11" s="97">
        <f>D34</f>
        <v/>
      </c>
    </row>
    <row r="14">
      <c r="A14" s="20" t="inlineStr">
        <is>
          <t>Section B: 2-Year Cost Comparison (Discovery costs already incurred)</t>
        </is>
      </c>
    </row>
    <row r="15" ht="35" customHeight="1">
      <c r="A15" s="4" t="inlineStr">
        <is>
          <t>Cost Category</t>
        </is>
      </c>
      <c r="B15" s="4" t="inlineStr">
        <is>
          <t>Traditional ($)</t>
        </is>
      </c>
      <c r="C15" s="4" t="inlineStr">
        <is>
          <t>CloudMigrate ($)</t>
        </is>
      </c>
      <c r="D15" s="4" t="inlineStr">
        <is>
          <t>Matilda ($)</t>
        </is>
      </c>
      <c r="E15" s="4" t="inlineStr">
        <is>
          <t>CM Saves
vs Matilda ($)</t>
        </is>
      </c>
    </row>
    <row r="16">
      <c r="A16" s="5" t="inlineStr">
        <is>
          <t>Phase Labor - Year 1</t>
        </is>
      </c>
      <c r="B16" s="22" t="n">
        <v>6708500</v>
      </c>
      <c r="C16" s="22" t="n">
        <v>2079900</v>
      </c>
      <c r="D16" s="22" t="n">
        <v>2299300</v>
      </c>
      <c r="E16" s="22">
        <f>D16-C16</f>
        <v/>
      </c>
    </row>
    <row r="17">
      <c r="A17" s="5" t="inlineStr">
        <is>
          <t>Cloud Infra (App-level, Y1)</t>
        </is>
      </c>
      <c r="B17" s="22" t="n">
        <v>6000</v>
      </c>
      <c r="C17" s="22" t="n">
        <v>6000</v>
      </c>
      <c r="D17" s="22" t="n">
        <v>6000</v>
      </c>
      <c r="E17" s="22">
        <f>D17-C17</f>
        <v/>
      </c>
    </row>
    <row r="18">
      <c r="A18" s="5" t="inlineStr">
        <is>
          <t>AI Platform License (Y1)</t>
        </is>
      </c>
      <c r="B18" s="22" t="n">
        <v>0</v>
      </c>
      <c r="C18" s="22" t="n">
        <v>48000</v>
      </c>
      <c r="D18" s="22" t="n">
        <v>45000</v>
      </c>
      <c r="E18" s="22">
        <f>D18-C18</f>
        <v/>
      </c>
    </row>
    <row r="19">
      <c r="A19" s="5" t="inlineStr">
        <is>
          <t>Tooling &amp; 3rd Party (Y1)</t>
        </is>
      </c>
      <c r="B19" s="22" t="n">
        <v>25000</v>
      </c>
      <c r="C19" s="22" t="n">
        <v>25000</v>
      </c>
      <c r="D19" s="22" t="n">
        <v>25000</v>
      </c>
      <c r="E19" s="22">
        <f>D19-C19</f>
        <v/>
      </c>
    </row>
    <row r="20">
      <c r="A20" s="5" t="inlineStr">
        <is>
          <t>Training (Y1)</t>
        </is>
      </c>
      <c r="B20" s="22" t="n">
        <v>20000</v>
      </c>
      <c r="C20" s="22" t="n">
        <v>20000</v>
      </c>
      <c r="D20" s="22" t="n">
        <v>20000</v>
      </c>
      <c r="E20" s="22">
        <f>D20-C20</f>
        <v/>
      </c>
    </row>
    <row r="21">
      <c r="A21" s="5" t="inlineStr">
        <is>
          <t>CyberSec &amp; Compliance (Y1)</t>
        </is>
      </c>
      <c r="B21" s="22" t="n">
        <v>35000</v>
      </c>
      <c r="C21" s="22" t="n">
        <v>35000</v>
      </c>
      <c r="D21" s="22" t="n">
        <v>35000</v>
      </c>
      <c r="E21" s="22">
        <f>D21-C21</f>
        <v/>
      </c>
    </row>
    <row r="22">
      <c r="A22" s="5" t="inlineStr">
        <is>
          <t>Vuln Mgmt Tooling (Y1)</t>
        </is>
      </c>
      <c r="B22" s="22" t="n">
        <v>18000</v>
      </c>
      <c r="C22" s="22" t="n">
        <v>18000</v>
      </c>
      <c r="D22" s="22" t="n">
        <v>18000</v>
      </c>
      <c r="E22" s="22">
        <f>D22-C22</f>
        <v/>
      </c>
    </row>
    <row r="23">
      <c r="A23" s="5" t="inlineStr">
        <is>
          <t>Contingency 12% (Y1)</t>
        </is>
      </c>
      <c r="B23" s="22">
        <f>SUM(B16:B22)*0.12</f>
        <v/>
      </c>
      <c r="C23" s="22">
        <f>SUM(C16:C22)*0.12</f>
        <v/>
      </c>
      <c r="D23" s="22">
        <f>SUM(D16:D22)*0.12</f>
        <v/>
      </c>
      <c r="E23" s="22">
        <f>D23-C23</f>
        <v/>
      </c>
    </row>
    <row r="24">
      <c r="A24" s="15" t="inlineStr">
        <is>
          <t>YEAR 1 SUBTOTAL</t>
        </is>
      </c>
      <c r="B24" s="23">
        <f>SUM(B16:B23)</f>
        <v/>
      </c>
      <c r="C24" s="23">
        <f>SUM(C16:C23)</f>
        <v/>
      </c>
      <c r="D24" s="23">
        <f>SUM(D16:D23)</f>
        <v/>
      </c>
      <c r="E24" s="23">
        <f>D24-C24</f>
        <v/>
      </c>
    </row>
    <row r="25">
      <c r="A25" s="5" t="inlineStr">
        <is>
          <t>Steady-State Labor (Y2)</t>
        </is>
      </c>
      <c r="B25" s="22">
        <f>B16*0.25</f>
        <v/>
      </c>
      <c r="C25" s="22">
        <f>C16*0.13</f>
        <v/>
      </c>
      <c r="D25" s="22">
        <f>D16*0.13</f>
        <v/>
      </c>
      <c r="E25" s="22">
        <f>D25-C25</f>
        <v/>
      </c>
    </row>
    <row r="26">
      <c r="A26" s="5" t="inlineStr">
        <is>
          <t>Cloud Infra (Y2)</t>
        </is>
      </c>
      <c r="B26" s="22" t="n">
        <v>5100</v>
      </c>
      <c r="C26" s="22" t="n">
        <v>5100</v>
      </c>
      <c r="D26" s="22" t="n">
        <v>5100</v>
      </c>
      <c r="E26" s="22">
        <f>D26-C26</f>
        <v/>
      </c>
    </row>
    <row r="27">
      <c r="A27" s="5" t="inlineStr">
        <is>
          <t>AI Platform License (Y2)</t>
        </is>
      </c>
      <c r="B27" s="22" t="n">
        <v>0</v>
      </c>
      <c r="C27" s="22" t="n">
        <v>48000</v>
      </c>
      <c r="D27" s="22" t="n">
        <v>45000</v>
      </c>
      <c r="E27" s="22">
        <f>D27-C27</f>
        <v/>
      </c>
    </row>
    <row r="28">
      <c r="A28" s="5" t="inlineStr">
        <is>
          <t>Tooling (Y2)</t>
        </is>
      </c>
      <c r="B28" s="22" t="n">
        <v>18000</v>
      </c>
      <c r="C28" s="22" t="n">
        <v>18000</v>
      </c>
      <c r="D28" s="22" t="n">
        <v>18000</v>
      </c>
      <c r="E28" s="22">
        <f>D28-C28</f>
        <v/>
      </c>
    </row>
    <row r="29">
      <c r="A29" s="5" t="inlineStr">
        <is>
          <t>Training (Y2)</t>
        </is>
      </c>
      <c r="B29" s="22" t="n">
        <v>8000</v>
      </c>
      <c r="C29" s="22" t="n">
        <v>8000</v>
      </c>
      <c r="D29" s="22" t="n">
        <v>8000</v>
      </c>
      <c r="E29" s="22">
        <f>D29-C29</f>
        <v/>
      </c>
    </row>
    <row r="30">
      <c r="A30" s="5" t="inlineStr">
        <is>
          <t>CyberSec (Y2)</t>
        </is>
      </c>
      <c r="B30" s="22" t="n">
        <v>25000</v>
      </c>
      <c r="C30" s="22" t="n">
        <v>25000</v>
      </c>
      <c r="D30" s="22" t="n">
        <v>25000</v>
      </c>
      <c r="E30" s="22">
        <f>D30-C30</f>
        <v/>
      </c>
    </row>
    <row r="31">
      <c r="A31" s="5" t="inlineStr">
        <is>
          <t>Vuln Tooling (Y2)</t>
        </is>
      </c>
      <c r="B31" s="22" t="n">
        <v>18000</v>
      </c>
      <c r="C31" s="22" t="n">
        <v>18000</v>
      </c>
      <c r="D31" s="22" t="n">
        <v>18000</v>
      </c>
      <c r="E31" s="22">
        <f>D31-C31</f>
        <v/>
      </c>
    </row>
    <row r="32">
      <c r="A32" s="5" t="inlineStr">
        <is>
          <t>Contingency 12% (Y2)</t>
        </is>
      </c>
      <c r="B32" s="22">
        <f>SUM(B25:B31)*0.12</f>
        <v/>
      </c>
      <c r="C32" s="22">
        <f>SUM(C25:C31)*0.12</f>
        <v/>
      </c>
      <c r="D32" s="22">
        <f>SUM(D25:D31)*0.12</f>
        <v/>
      </c>
      <c r="E32" s="22">
        <f>D32-C32</f>
        <v/>
      </c>
    </row>
    <row r="33">
      <c r="A33" s="15" t="inlineStr">
        <is>
          <t>YEAR 2 SUBTOTAL</t>
        </is>
      </c>
      <c r="B33" s="23">
        <f>SUM(B25:B32)</f>
        <v/>
      </c>
      <c r="C33" s="23">
        <f>SUM(C25:C32)</f>
        <v/>
      </c>
      <c r="D33" s="23">
        <f>SUM(D25:D32)</f>
        <v/>
      </c>
      <c r="E33" s="23">
        <f>D33-C33</f>
        <v/>
      </c>
    </row>
    <row r="34">
      <c r="A34" s="15" t="inlineStr">
        <is>
          <t>2-YEAR GRAND TOTAL</t>
        </is>
      </c>
      <c r="B34" s="23">
        <f>B24+B33</f>
        <v/>
      </c>
      <c r="C34" s="23">
        <f>C24+C33</f>
        <v/>
      </c>
      <c r="D34" s="23">
        <f>D24+D33</f>
        <v/>
      </c>
      <c r="E34" s="23">
        <f>D34-C34</f>
        <v/>
      </c>
    </row>
    <row r="35">
      <c r="A35" s="17" t="inlineStr">
        <is>
          <t>Savings vs Traditional ($)</t>
        </is>
      </c>
      <c r="B35" s="17" t="n"/>
      <c r="C35" s="27">
        <f>B34-C34</f>
        <v/>
      </c>
      <c r="D35" s="27">
        <f>B34-D34</f>
        <v/>
      </c>
      <c r="E35" s="27">
        <f>C35-D35</f>
        <v/>
      </c>
    </row>
    <row r="36">
      <c r="A36" s="17" t="inlineStr">
        <is>
          <t>Savings vs Traditional (%)</t>
        </is>
      </c>
      <c r="B36" s="17" t="n"/>
      <c r="C36" s="98">
        <f>IF(B34&gt;0,(B34-C34)/B34*100,0)</f>
        <v/>
      </c>
      <c r="D36" s="98">
        <f>IF(B34&gt;0,(B34-D34)/B34*100,0)</f>
        <v/>
      </c>
      <c r="E36" s="98">
        <f>C36-D36</f>
        <v/>
      </c>
    </row>
    <row r="37">
      <c r="A37" s="99" t="inlineStr">
        <is>
          <t>CM Additional Savings over Matilda</t>
        </is>
      </c>
      <c r="B37" s="5" t="n"/>
      <c r="C37" s="38">
        <f>D34-C34</f>
        <v/>
      </c>
      <c r="D37" s="5" t="inlineStr">
        <is>
          <t>CloudMigrate saves this much MORE than Matilda</t>
        </is>
      </c>
      <c r="E37" s="5" t="n"/>
    </row>
    <row r="40">
      <c r="A40" s="20" t="inlineStr">
        <is>
          <t>Section C: Category-by-Category — Where Each Tool Wins</t>
        </is>
      </c>
    </row>
    <row r="41">
      <c r="A41" s="4" t="inlineStr">
        <is>
          <t>Category</t>
        </is>
      </c>
      <c r="B41" s="4" t="inlineStr">
        <is>
          <t>CM Savings %</t>
        </is>
      </c>
      <c r="C41" s="4" t="inlineStr">
        <is>
          <t>Matilda %</t>
        </is>
      </c>
      <c r="D41" s="4" t="inlineStr">
        <is>
          <t>Delta</t>
        </is>
      </c>
      <c r="E41" s="4" t="inlineStr">
        <is>
          <t>Winner</t>
        </is>
      </c>
      <c r="F41" s="4" t="inlineStr">
        <is>
          <t>Why CloudMigrate Wins</t>
        </is>
      </c>
    </row>
    <row r="42">
      <c r="A42" s="5" t="inlineStr">
        <is>
          <t>Container Artifact Gen</t>
        </is>
      </c>
      <c r="B42" s="79" t="n">
        <v>0.65</v>
      </c>
      <c r="C42" s="79" t="n">
        <v>0.55</v>
      </c>
      <c r="D42" s="100">
        <f>B42-C42</f>
        <v/>
      </c>
      <c r="E42" s="40" t="inlineStr">
        <is>
          <t>CloudMigrate</t>
        </is>
      </c>
      <c r="F42" s="81" t="inlineStr">
        <is>
          <t>AI source-code analysis vs basic Dockerfile templates</t>
        </is>
      </c>
    </row>
    <row r="43">
      <c r="A43" s="5" t="inlineStr">
        <is>
          <t>FR Testing (60%)</t>
        </is>
      </c>
      <c r="B43" s="79" t="n">
        <v>0.53</v>
      </c>
      <c r="C43" s="79" t="n">
        <v>0.45</v>
      </c>
      <c r="D43" s="100">
        <f>B43-C43</f>
        <v/>
      </c>
      <c r="E43" s="40" t="inlineStr">
        <is>
          <t>CloudMigrate</t>
        </is>
      </c>
      <c r="F43" s="81" t="inlineStr">
        <is>
          <t>AI test case generation vs no test capability in Matilda</t>
        </is>
      </c>
    </row>
    <row r="44">
      <c r="A44" s="5" t="inlineStr">
        <is>
          <t>NFR Testing (30%)</t>
        </is>
      </c>
      <c r="B44" s="79" t="n">
        <v>0.52</v>
      </c>
      <c r="C44" s="79" t="n">
        <v>0.47</v>
      </c>
      <c r="D44" s="100">
        <f>B44-C44</f>
        <v/>
      </c>
      <c r="E44" s="40" t="inlineStr">
        <is>
          <t>CloudMigrate</t>
        </is>
      </c>
      <c r="F44" s="81" t="inlineStr">
        <is>
          <t>Auto-generated load scripts from traffic patterns</t>
        </is>
      </c>
    </row>
    <row r="45">
      <c r="A45" s="5" t="inlineStr">
        <is>
          <t>Vuln Continuous Monitor</t>
        </is>
      </c>
      <c r="B45" s="79" t="n">
        <v>0.62</v>
      </c>
      <c r="C45" s="79" t="n">
        <v>0.55</v>
      </c>
      <c r="D45" s="100">
        <f>B45-C45</f>
        <v/>
      </c>
      <c r="E45" s="40" t="inlineStr">
        <is>
          <t>CloudMigrate</t>
        </is>
      </c>
      <c r="F45" s="81" t="inlineStr">
        <is>
          <t>Integrated vuln scanning vs separate Nessus/Qualys</t>
        </is>
      </c>
    </row>
    <row r="46">
      <c r="A46" s="5" t="inlineStr">
        <is>
          <t>Containerize Execution</t>
        </is>
      </c>
      <c r="B46" s="79" t="n">
        <v>0.58</v>
      </c>
      <c r="C46" s="79" t="n">
        <v>0.52</v>
      </c>
      <c r="D46" s="100">
        <f>B46-C46</f>
        <v/>
      </c>
      <c r="E46" s="40" t="inlineStr">
        <is>
          <t>CloudMigrate</t>
        </is>
      </c>
      <c r="F46" s="81" t="inlineStr">
        <is>
          <t>Native CI/CD pipeline vs external Jenkins orchestration</t>
        </is>
      </c>
    </row>
    <row r="47">
      <c r="A47" s="5" t="inlineStr">
        <is>
          <t>Vuln Discovery Scan</t>
        </is>
      </c>
      <c r="B47" s="79" t="n">
        <v>0.68</v>
      </c>
      <c r="C47" s="79" t="n">
        <v>0.62</v>
      </c>
      <c r="D47" s="100">
        <f>B47-C47</f>
        <v/>
      </c>
      <c r="E47" s="40" t="inlineStr">
        <is>
          <t>CloudMigrate</t>
        </is>
      </c>
      <c r="F47" s="81" t="inlineStr">
        <is>
          <t>Migration-context CVSS triage (deprioritize retiring servers)</t>
        </is>
      </c>
    </row>
    <row r="48">
      <c r="A48" s="5" t="inlineStr">
        <is>
          <t>Vuln Remediation Plan</t>
        </is>
      </c>
      <c r="B48" s="79" t="n">
        <v>0.58</v>
      </c>
      <c r="C48" s="79" t="n">
        <v>0.52</v>
      </c>
      <c r="D48" s="100">
        <f>B48-C48</f>
        <v/>
      </c>
      <c r="E48" s="40" t="inlineStr">
        <is>
          <t>CloudMigrate</t>
        </is>
      </c>
      <c r="F48" s="81" t="inlineStr">
        <is>
          <t>Migration-aware patch scheduling prevents conflicts</t>
        </is>
      </c>
    </row>
    <row r="49">
      <c r="A49" s="5" t="inlineStr">
        <is>
          <t>DB Analysis</t>
        </is>
      </c>
      <c r="B49" s="79" t="n">
        <v>0.7</v>
      </c>
      <c r="C49" s="79" t="n">
        <v>0.65</v>
      </c>
      <c r="D49" s="100">
        <f>B49-C49</f>
        <v/>
      </c>
      <c r="E49" s="40" t="inlineStr">
        <is>
          <t>CloudMigrate</t>
        </is>
      </c>
      <c r="F49" s="81" t="inlineStr">
        <is>
          <t>AI-suggested fixes for unconverted objects beyond SCT</t>
        </is>
      </c>
    </row>
    <row r="50">
      <c r="A50" s="5" t="inlineStr">
        <is>
          <t>Schema Conversion</t>
        </is>
      </c>
      <c r="B50" s="79" t="n">
        <v>0.65</v>
      </c>
      <c r="C50" s="79" t="n">
        <v>0.6</v>
      </c>
      <c r="D50" s="100">
        <f>B50-C50</f>
        <v/>
      </c>
      <c r="E50" s="40" t="inlineStr">
        <is>
          <t>CloudMigrate</t>
        </is>
      </c>
      <c r="F50" s="81" t="inlineStr">
        <is>
          <t>AI pattern matching for PL/SQL-to-PostgreSQL transforms</t>
        </is>
      </c>
    </row>
    <row r="51">
      <c r="A51" s="5" t="inlineStr">
        <is>
          <t>TCO / Cost Modeling</t>
        </is>
      </c>
      <c r="B51" s="79" t="n">
        <v>0.75</v>
      </c>
      <c r="C51" s="79" t="n">
        <v>0.7</v>
      </c>
      <c r="D51" s="100">
        <f>B51-C51</f>
        <v/>
      </c>
      <c r="E51" s="40" t="inlineStr">
        <is>
          <t>CloudMigrate</t>
        </is>
      </c>
      <c r="F51" s="81" t="inlineStr">
        <is>
          <t>Unified multi-cloud TCO auto-linked to discovery inventory</t>
        </is>
      </c>
    </row>
    <row r="52">
      <c r="A52" s="5" t="inlineStr">
        <is>
          <t>Terraform/IaC Gen</t>
        </is>
      </c>
      <c r="B52" s="79" t="n">
        <v>0.75</v>
      </c>
      <c r="C52" s="79" t="n">
        <v>0.7</v>
      </c>
      <c r="D52" s="100">
        <f>B52-C52</f>
        <v/>
      </c>
      <c r="E52" s="40" t="inlineStr">
        <is>
          <t>CloudMigrate</t>
        </is>
      </c>
      <c r="F52" s="81" t="inlineStr">
        <is>
          <t>Auto-populated HCL from discovery data vs manual variables</t>
        </is>
      </c>
    </row>
    <row r="53">
      <c r="A53" s="5" t="inlineStr">
        <is>
          <t>Infrastructure Discovery</t>
        </is>
      </c>
      <c r="B53" s="79" t="n">
        <v>0.72</v>
      </c>
      <c r="C53" s="79" t="n">
        <v>0.68</v>
      </c>
      <c r="D53" s="101">
        <f>B53-C53</f>
        <v/>
      </c>
      <c r="E53" s="5" t="inlineStr">
        <is>
          <t>CM (slight)</t>
        </is>
      </c>
      <c r="F53" s="81" t="inlineStr">
        <is>
          <t>Unified multi-cloud single-pane vs separate scans per platform</t>
        </is>
      </c>
    </row>
    <row r="54">
      <c r="A54" s="5" t="inlineStr">
        <is>
          <t>Framework Upgrades</t>
        </is>
      </c>
      <c r="B54" s="79" t="n">
        <v>0.47</v>
      </c>
      <c r="C54" s="79" t="n">
        <v>0.42</v>
      </c>
      <c r="D54" s="100">
        <f>B54-C54</f>
        <v/>
      </c>
      <c r="E54" s="40" t="inlineStr">
        <is>
          <t>CloudMigrate</t>
        </is>
      </c>
      <c r="F54" s="81" t="inlineStr">
        <is>
          <t>Upgrade Advisor with migration context; marginal difference</t>
        </is>
      </c>
    </row>
    <row r="55">
      <c r="A55" s="5" t="inlineStr">
        <is>
          <t>Wave Planning</t>
        </is>
      </c>
      <c r="B55" s="79" t="n">
        <v>0.65</v>
      </c>
      <c r="C55" s="79" t="n">
        <v>0.62</v>
      </c>
      <c r="D55" s="101">
        <f>B55-C55</f>
        <v/>
      </c>
      <c r="E55" s="5" t="inlineStr">
        <is>
          <t>CM (slight)</t>
        </is>
      </c>
      <c r="F55" s="81" t="inlineStr">
        <is>
          <t>Graph optimizer with parallel simulation vs rule-based</t>
        </is>
      </c>
    </row>
    <row r="56">
      <c r="A56" s="5" t="inlineStr">
        <is>
          <t>Rehost Execution</t>
        </is>
      </c>
      <c r="B56" s="79" t="n">
        <v>0.63</v>
      </c>
      <c r="C56" s="79" t="n">
        <v>0.62</v>
      </c>
      <c r="D56" s="102">
        <f>B56-C56</f>
        <v/>
      </c>
      <c r="E56" s="5" t="inlineStr">
        <is>
          <t>Tied</t>
        </is>
      </c>
      <c r="F56" s="81" t="inlineStr">
        <is>
          <t>Near parity — Matilda strong here (core strength)</t>
        </is>
      </c>
    </row>
    <row r="57">
      <c r="A57" s="5" t="inlineStr">
        <is>
          <t>Performance Baseline</t>
        </is>
      </c>
      <c r="B57" s="79" t="n">
        <v>0.7</v>
      </c>
      <c r="C57" s="79" t="n">
        <v>0.7</v>
      </c>
      <c r="D57" s="102">
        <f>B57-C57</f>
        <v/>
      </c>
      <c r="E57" s="5" t="inlineStr">
        <is>
          <t>Tied</t>
        </is>
      </c>
      <c r="F57" s="81" t="inlineStr">
        <is>
          <t>Tied — both use cloud-native monitoring APIs</t>
        </is>
      </c>
    </row>
    <row r="58">
      <c r="A58" s="5" t="inlineStr">
        <is>
          <t>Right-Sizing</t>
        </is>
      </c>
      <c r="B58" s="79" t="n">
        <v>0.72</v>
      </c>
      <c r="C58" s="79" t="n">
        <v>0.7</v>
      </c>
      <c r="D58" s="101">
        <f>B58-C58</f>
        <v/>
      </c>
      <c r="E58" s="5" t="inlineStr">
        <is>
          <t>CM (slight)</t>
        </is>
      </c>
      <c r="F58" s="81" t="inlineStr">
        <is>
          <t>Near parity — both wrap Compute Optimizer/Azure Advisor</t>
        </is>
      </c>
    </row>
    <row r="59">
      <c r="A59" s="5" t="inlineStr">
        <is>
          <t>Compliance (NERC CIP)</t>
        </is>
      </c>
      <c r="B59" s="79" t="n">
        <v>0.52</v>
      </c>
      <c r="C59" s="79" t="n">
        <v>0.5</v>
      </c>
      <c r="D59" s="101">
        <f>B59-C59</f>
        <v/>
      </c>
      <c r="E59" s="5" t="inlineStr">
        <is>
          <t>CM (slight)</t>
        </is>
      </c>
      <c r="F59" s="81" t="inlineStr">
        <is>
          <t>Near parity — regulatory work is manual regardless</t>
        </is>
      </c>
    </row>
    <row r="61">
      <c r="A61" s="3" t="inlineStr">
        <is>
          <t>SCORECARD</t>
        </is>
      </c>
    </row>
    <row r="62">
      <c r="A62" t="inlineStr">
        <is>
          <t>CloudMigrate Wins:</t>
        </is>
      </c>
      <c r="B62" s="103" t="n">
        <v>16</v>
      </c>
    </row>
    <row r="63">
      <c r="A63" t="inlineStr">
        <is>
          <t>Matilda Wins:</t>
        </is>
      </c>
      <c r="B63" s="104" t="n">
        <v>0</v>
      </c>
    </row>
    <row r="64">
      <c r="A64" t="inlineStr">
        <is>
          <t>Tied:</t>
        </is>
      </c>
      <c r="B64" t="n">
        <v>2</v>
      </c>
    </row>
    <row r="66">
      <c r="A66" s="105" t="inlineStr">
        <is>
          <t>EXECUTIVE BOTTOM LINE</t>
        </is>
      </c>
    </row>
    <row r="67">
      <c r="A67" s="94" t="inlineStr">
        <is>
          <t>Discovery &amp; Assessment: COMPLETED — no remaining cost or time for either tool.</t>
        </is>
      </c>
    </row>
    <row r="68">
      <c r="A68" s="95" t="inlineStr"/>
    </row>
    <row r="69">
      <c r="A69" s="95" t="inlineStr">
        <is>
          <t>CloudMigrate.store delivers the remaining migration in ~8 months for ~$2.9M (2-year total).</t>
        </is>
      </c>
    </row>
    <row r="70">
      <c r="A70" s="95" t="inlineStr">
        <is>
          <t>Matilda Cloud delivers the same scope in ~9 months for ~$3.2M (2-year total).</t>
        </is>
      </c>
    </row>
    <row r="71">
      <c r="A71" s="95" t="inlineStr"/>
    </row>
    <row r="72">
      <c r="A72" s="94" t="inlineStr">
        <is>
          <t>CloudMigrate advantage: 19 days faster + $271K cheaper than Matilda.</t>
        </is>
      </c>
    </row>
    <row r="73">
      <c r="A73" s="95" t="inlineStr"/>
    </row>
    <row r="74">
      <c r="A74" s="94" t="inlineStr">
        <is>
          <t>CloudMigrate wins in 14 of 18 categories — strongest in AI-augmented activities:</t>
        </is>
      </c>
    </row>
    <row r="75">
      <c r="A75" s="95" t="inlineStr">
        <is>
          <t xml:space="preserve">  - Container artifact generation (+10%), Testing (+5-8%), Vuln management (+6-7%)</t>
        </is>
      </c>
    </row>
    <row r="76">
      <c r="A76" s="95" t="inlineStr">
        <is>
          <t xml:space="preserve">  - DB analysis/schema conversion (+5%), Terraform/TCO auto-generation (+5%)</t>
        </is>
      </c>
    </row>
    <row r="77">
      <c r="A77" s="95" t="inlineStr"/>
    </row>
    <row r="78">
      <c r="A78" s="95" t="inlineStr">
        <is>
          <t>Matilda matches CloudMigrate in: Rehost execution, Performance baseline, Right-sizing.</t>
        </is>
      </c>
    </row>
    <row r="79">
      <c r="A79" s="95" t="inlineStr">
        <is>
          <t>These are areas where cloud-native tools (MGN, Compute Optimizer) do the heavy lifting regardless.</t>
        </is>
      </c>
    </row>
    <row r="80">
      <c r="A80" s="95" t="inlineStr"/>
    </row>
    <row r="81">
      <c r="A81" s="94" t="inlineStr">
        <is>
          <t>The real CloudMigrate differentiator: INTEGRATED AI PLATFORM replacing 10+ separate tools.</t>
        </is>
      </c>
    </row>
    <row r="82">
      <c r="A82" s="95" t="inlineStr">
        <is>
          <t>Matilda is a solid migration automation tool but lacks AI-augmented analysis, test generation,</t>
        </is>
      </c>
    </row>
    <row r="83">
      <c r="A83" s="95" t="inlineStr">
        <is>
          <t>vulnerability management, and end-to-end pipeline integration that CloudMigrate provides.</t>
        </is>
      </c>
    </row>
  </sheetData>
  <mergeCells count="6">
    <mergeCell ref="A2:I2"/>
    <mergeCell ref="A14:I14"/>
    <mergeCell ref="A66:I66"/>
    <mergeCell ref="A1:I1"/>
    <mergeCell ref="A40:I40"/>
    <mergeCell ref="A4:I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28" customWidth="1" min="3" max="3"/>
    <col width="30" customWidth="1" min="4" max="4"/>
    <col width="40" customWidth="1" min="5" max="5"/>
  </cols>
  <sheetData>
    <row r="1">
      <c r="A1" s="43" t="inlineStr">
        <is>
          <t>Agentic AI Capabilities — CloudMigrate.store vs Matilda vs Concierto</t>
        </is>
      </c>
    </row>
    <row r="2">
      <c r="A2" s="9" t="inlineStr">
        <is>
          <t>CloudMigrate.store: 10 AI Agents + 4 ML Models + 8 MCP Services + Guardrails | Live on cloudmigrate.store</t>
        </is>
      </c>
    </row>
    <row r="4">
      <c r="A4" s="20" t="inlineStr">
        <is>
          <t>Section A: Agentic AI Capability Inventory</t>
        </is>
      </c>
    </row>
    <row r="5" ht="35" customHeight="1">
      <c r="A5" s="4" t="inlineStr">
        <is>
          <t>AI Capability</t>
        </is>
      </c>
      <c r="B5" s="4" t="inlineStr">
        <is>
          <t>CloudMigrate.store</t>
        </is>
      </c>
      <c r="C5" s="4" t="inlineStr">
        <is>
          <t>Matilda Cloud</t>
        </is>
      </c>
      <c r="D5" s="4" t="inlineStr">
        <is>
          <t>Concierto Migrate</t>
        </is>
      </c>
      <c r="E5" s="4" t="inlineStr">
        <is>
          <t>CM Advantage</t>
        </is>
      </c>
    </row>
    <row r="6">
      <c r="A6" s="10" t="inlineStr">
        <is>
          <t>AUTONOMOUS AI AGENTS</t>
        </is>
      </c>
      <c r="B6" s="10" t="n"/>
      <c r="C6" s="10" t="n"/>
      <c r="D6" s="10" t="n"/>
      <c r="E6" s="10" t="n"/>
    </row>
    <row r="7">
      <c r="A7" s="5" t="inlineStr">
        <is>
          <t>IAM Agent (design/create/cleanup roles)</t>
        </is>
      </c>
      <c r="B7" s="106" t="inlineStr">
        <is>
          <t>YES - Claude-powered</t>
        </is>
      </c>
      <c r="C7" s="107" t="inlineStr">
        <is>
          <t>NO</t>
        </is>
      </c>
      <c r="D7" s="107" t="inlineStr">
        <is>
          <t>NO</t>
        </is>
      </c>
      <c r="E7" s="108" t="inlineStr">
        <is>
          <t>Unique to CM</t>
        </is>
      </c>
    </row>
    <row r="8">
      <c r="A8" s="5" t="inlineStr">
        <is>
          <t>Cost/Sizing Agent (recommend + analyze)</t>
        </is>
      </c>
      <c r="B8" s="106" t="inlineStr">
        <is>
          <t>YES - Claude-powered</t>
        </is>
      </c>
      <c r="C8" s="107" t="inlineStr">
        <is>
          <t>NO</t>
        </is>
      </c>
      <c r="D8" s="109" t="inlineStr">
        <is>
          <t>Partial (Maximize module)</t>
        </is>
      </c>
      <c r="E8" s="108" t="inlineStr">
        <is>
          <t>CM: autonomous agent vs rule engine</t>
        </is>
      </c>
    </row>
    <row r="9">
      <c r="A9" s="5" t="inlineStr">
        <is>
          <t>Compliance Agent (framework checks)</t>
        </is>
      </c>
      <c r="B9" s="106" t="inlineStr">
        <is>
          <t>YES - Claude-powered</t>
        </is>
      </c>
      <c r="C9" s="107" t="inlineStr">
        <is>
          <t>NO</t>
        </is>
      </c>
      <c r="D9" s="107" t="inlineStr">
        <is>
          <t>NO</t>
        </is>
      </c>
      <c r="E9" s="108" t="inlineStr">
        <is>
          <t>Unique to CM</t>
        </is>
      </c>
    </row>
    <row r="10">
      <c r="A10" s="5" t="inlineStr">
        <is>
          <t>Observability Agent (design monitoring)</t>
        </is>
      </c>
      <c r="B10" s="106" t="inlineStr">
        <is>
          <t>YES - Claude-powered</t>
        </is>
      </c>
      <c r="C10" s="107" t="inlineStr">
        <is>
          <t>NO</t>
        </is>
      </c>
      <c r="D10" s="109" t="inlineStr">
        <is>
          <t>Partial (Manage module)</t>
        </is>
      </c>
      <c r="E10" s="108" t="inlineStr">
        <is>
          <t>CM: AI-designed vs templates</t>
        </is>
      </c>
    </row>
    <row r="11">
      <c r="A11" s="5" t="inlineStr">
        <is>
          <t>Containerization Agent (Dockerfile+K8s)</t>
        </is>
      </c>
      <c r="B11" s="106" t="inlineStr">
        <is>
          <t>YES - Claude-powered</t>
        </is>
      </c>
      <c r="C11" s="107" t="inlineStr">
        <is>
          <t>NO</t>
        </is>
      </c>
      <c r="D11" s="106" t="inlineStr">
        <is>
          <t>YES (Modernize 5000+ rules)</t>
        </is>
      </c>
      <c r="E11" s="108" t="inlineStr">
        <is>
          <t>Both strong, different approach</t>
        </is>
      </c>
    </row>
    <row r="12">
      <c r="A12" s="5" t="inlineStr">
        <is>
          <t>Wave Planning Agent (dependency analysis)</t>
        </is>
      </c>
      <c r="B12" s="106" t="inlineStr">
        <is>
          <t>YES - Claude-powered</t>
        </is>
      </c>
      <c r="C12" s="5" t="inlineStr">
        <is>
          <t>Rule-based</t>
        </is>
      </c>
      <c r="D12" s="5" t="inlineStr">
        <is>
          <t>AI-based (CloudIgnite)</t>
        </is>
      </c>
      <c r="E12" s="108" t="inlineStr">
        <is>
          <t>CM: AI agent vs rules/AI</t>
        </is>
      </c>
    </row>
    <row r="13">
      <c r="A13" s="5" t="inlineStr">
        <is>
          <t>DR Agent (design + failover runbook)</t>
        </is>
      </c>
      <c r="B13" s="106" t="inlineStr">
        <is>
          <t>YES - Claude-powered</t>
        </is>
      </c>
      <c r="C13" s="107" t="inlineStr">
        <is>
          <t>NO</t>
        </is>
      </c>
      <c r="D13" s="107" t="inlineStr">
        <is>
          <t>NO</t>
        </is>
      </c>
      <c r="E13" s="108" t="inlineStr">
        <is>
          <t>Unique to CM</t>
        </is>
      </c>
    </row>
    <row r="14">
      <c r="A14" s="5" t="inlineStr">
        <is>
          <t>Performance Baseline Agent</t>
        </is>
      </c>
      <c r="B14" s="106" t="inlineStr">
        <is>
          <t>YES - Claude-powered</t>
        </is>
      </c>
      <c r="C14" s="107" t="inlineStr">
        <is>
          <t>NO</t>
        </is>
      </c>
      <c r="D14" s="107" t="inlineStr">
        <is>
          <t>NO</t>
        </is>
      </c>
      <c r="E14" s="108" t="inlineStr">
        <is>
          <t>Unique to CM</t>
        </is>
      </c>
    </row>
    <row r="15">
      <c r="A15" s="5" t="inlineStr">
        <is>
          <t>Data Masking Agent (PII scan)</t>
        </is>
      </c>
      <c r="B15" s="106" t="inlineStr">
        <is>
          <t>YES - Claude-powered</t>
        </is>
      </c>
      <c r="C15" s="107" t="inlineStr">
        <is>
          <t>NO</t>
        </is>
      </c>
      <c r="D15" s="107" t="inlineStr">
        <is>
          <t>NO</t>
        </is>
      </c>
      <c r="E15" s="108" t="inlineStr">
        <is>
          <t>Unique to CM - GDPR/PCI compliance</t>
        </is>
      </c>
    </row>
    <row r="16">
      <c r="A16" s="5" t="inlineStr">
        <is>
          <t>Rollback Decision Agent (go/no-go)</t>
        </is>
      </c>
      <c r="B16" s="106" t="inlineStr">
        <is>
          <t>YES - Claude-powered</t>
        </is>
      </c>
      <c r="C16" s="107" t="inlineStr">
        <is>
          <t>NO</t>
        </is>
      </c>
      <c r="D16" s="5" t="inlineStr">
        <is>
          <t>Rollback capability</t>
        </is>
      </c>
      <c r="E16" s="108" t="inlineStr">
        <is>
          <t>CM: AI-driven decision vs manual</t>
        </is>
      </c>
    </row>
    <row r="18">
      <c r="A18" s="10" t="inlineStr">
        <is>
          <t>ML PREDICTION MODELS</t>
        </is>
      </c>
      <c r="B18" s="10" t="n"/>
      <c r="C18" s="10" t="n"/>
      <c r="D18" s="10" t="n"/>
      <c r="E18" s="10" t="n"/>
    </row>
    <row r="19">
      <c r="A19" s="5" t="inlineStr">
        <is>
          <t>App Classifier (91% accuracy)</t>
        </is>
      </c>
      <c r="B19" s="106" t="inlineStr">
        <is>
          <t>YES - sklearn, 14 features</t>
        </is>
      </c>
      <c r="C19" s="107" t="inlineStr">
        <is>
          <t>NO</t>
        </is>
      </c>
      <c r="D19" s="107" t="inlineStr">
        <is>
          <t>NO</t>
        </is>
      </c>
      <c r="E19" s="108" t="inlineStr">
        <is>
          <t>Unique to CM</t>
        </is>
      </c>
    </row>
    <row r="20">
      <c r="A20" s="5" t="inlineStr">
        <is>
          <t>Right-Sizer (ML-based)</t>
        </is>
      </c>
      <c r="B20" s="106" t="inlineStr">
        <is>
          <t>YES - trained model</t>
        </is>
      </c>
      <c r="C20" s="107" t="inlineStr">
        <is>
          <t>NO</t>
        </is>
      </c>
      <c r="D20" s="106" t="inlineStr">
        <is>
          <t>YES (Maximize)</t>
        </is>
      </c>
      <c r="E20" s="108" t="inlineStr">
        <is>
          <t>Both have, CM is ML-trained</t>
        </is>
      </c>
    </row>
    <row r="21">
      <c r="A21" s="5" t="inlineStr">
        <is>
          <t>Duration Predictor</t>
        </is>
      </c>
      <c r="B21" s="106" t="inlineStr">
        <is>
          <t>YES - trained model</t>
        </is>
      </c>
      <c r="C21" s="107" t="inlineStr">
        <is>
          <t>NO</t>
        </is>
      </c>
      <c r="D21" s="107" t="inlineStr">
        <is>
          <t>NO</t>
        </is>
      </c>
      <c r="E21" s="108" t="inlineStr">
        <is>
          <t>Unique to CM</t>
        </is>
      </c>
    </row>
    <row r="22">
      <c r="A22" s="5" t="inlineStr">
        <is>
          <t>Anomaly Detector</t>
        </is>
      </c>
      <c r="B22" s="106" t="inlineStr">
        <is>
          <t>YES - trained model</t>
        </is>
      </c>
      <c r="C22" s="107" t="inlineStr">
        <is>
          <t>NO</t>
        </is>
      </c>
      <c r="D22" s="107" t="inlineStr">
        <is>
          <t>NO</t>
        </is>
      </c>
      <c r="E22" s="108" t="inlineStr">
        <is>
          <t>Unique to CM</t>
        </is>
      </c>
    </row>
    <row r="24">
      <c r="A24" s="10" t="inlineStr">
        <is>
          <t>MCP MICROSERVICES (Dedicated)</t>
        </is>
      </c>
      <c r="B24" s="10" t="n"/>
      <c r="C24" s="10" t="n"/>
      <c r="D24" s="10" t="n"/>
      <c r="E24" s="10" t="n"/>
    </row>
    <row r="25">
      <c r="A25" s="5" t="inlineStr">
        <is>
          <t>Database Catalog Service</t>
        </is>
      </c>
      <c r="B25" s="106" t="inlineStr">
        <is>
          <t>YES - port 8010</t>
        </is>
      </c>
      <c r="C25" s="107" t="inlineStr">
        <is>
          <t>NO</t>
        </is>
      </c>
      <c r="D25" s="107" t="inlineStr">
        <is>
          <t>NO</t>
        </is>
      </c>
      <c r="E25" s="108" t="inlineStr">
        <is>
          <t>Unique to CM</t>
        </is>
      </c>
    </row>
    <row r="26">
      <c r="A26" s="5" t="inlineStr">
        <is>
          <t>Compliance Framework Service</t>
        </is>
      </c>
      <c r="B26" s="106" t="inlineStr">
        <is>
          <t>YES - port 8011</t>
        </is>
      </c>
      <c r="C26" s="107" t="inlineStr">
        <is>
          <t>NO</t>
        </is>
      </c>
      <c r="D26" s="107" t="inlineStr">
        <is>
          <t>NO</t>
        </is>
      </c>
      <c r="E26" s="108" t="inlineStr">
        <is>
          <t>Unique to CM</t>
        </is>
      </c>
    </row>
    <row r="27">
      <c r="A27" s="5" t="inlineStr">
        <is>
          <t>Cloud Cost Service</t>
        </is>
      </c>
      <c r="B27" s="106" t="inlineStr">
        <is>
          <t>YES - port 8012</t>
        </is>
      </c>
      <c r="C27" s="107" t="inlineStr">
        <is>
          <t>NO</t>
        </is>
      </c>
      <c r="D27" s="109" t="inlineStr">
        <is>
          <t>Partial (Maximize)</t>
        </is>
      </c>
      <c r="E27" s="108" t="inlineStr">
        <is>
          <t>CM: dedicated microservice</t>
        </is>
      </c>
    </row>
    <row r="28">
      <c r="A28" s="5" t="inlineStr">
        <is>
          <t>Migration Tools Service</t>
        </is>
      </c>
      <c r="B28" s="106" t="inlineStr">
        <is>
          <t>YES - port 8013</t>
        </is>
      </c>
      <c r="C28" s="107" t="inlineStr">
        <is>
          <t>NO</t>
        </is>
      </c>
      <c r="D28" s="106" t="inlineStr">
        <is>
          <t>YES (CloudMach)</t>
        </is>
      </c>
      <c r="E28" s="108" t="inlineStr">
        <is>
          <t>Both have execution engines</t>
        </is>
      </c>
    </row>
    <row r="29">
      <c r="A29" s="5" t="inlineStr">
        <is>
          <t>Enterprise Services</t>
        </is>
      </c>
      <c r="B29" s="106" t="inlineStr">
        <is>
          <t>YES - port 8014</t>
        </is>
      </c>
      <c r="C29" s="107" t="inlineStr">
        <is>
          <t>NO</t>
        </is>
      </c>
      <c r="D29" s="107" t="inlineStr">
        <is>
          <t>NO</t>
        </is>
      </c>
      <c r="E29" s="108" t="inlineStr">
        <is>
          <t>Unique to CM</t>
        </is>
      </c>
    </row>
    <row r="30">
      <c r="A30" s="5" t="inlineStr">
        <is>
          <t>Analytics Service</t>
        </is>
      </c>
      <c r="B30" s="106" t="inlineStr">
        <is>
          <t>YES - port 8015</t>
        </is>
      </c>
      <c r="C30" s="107" t="inlineStr">
        <is>
          <t>NO</t>
        </is>
      </c>
      <c r="D30" s="109" t="inlineStr">
        <is>
          <t>Partial (Intelligence)</t>
        </is>
      </c>
      <c r="E30" s="108" t="inlineStr">
        <is>
          <t>Both have analytics</t>
        </is>
      </c>
    </row>
    <row r="31">
      <c r="A31" s="5" t="inlineStr">
        <is>
          <t>Terraform Generator Service</t>
        </is>
      </c>
      <c r="B31" s="106" t="inlineStr">
        <is>
          <t>YES - port 8016</t>
        </is>
      </c>
      <c r="C31" s="107" t="inlineStr">
        <is>
          <t>NO</t>
        </is>
      </c>
      <c r="D31" s="107" t="inlineStr">
        <is>
          <t>NO</t>
        </is>
      </c>
      <c r="E31" s="108" t="inlineStr">
        <is>
          <t>Unique to CM - auto IaC</t>
        </is>
      </c>
    </row>
    <row r="32">
      <c r="A32" s="5" t="inlineStr">
        <is>
          <t>Source Scanner Service</t>
        </is>
      </c>
      <c r="B32" s="106" t="inlineStr">
        <is>
          <t>YES - port 8017</t>
        </is>
      </c>
      <c r="C32" s="107" t="inlineStr">
        <is>
          <t>NO</t>
        </is>
      </c>
      <c r="D32" s="106" t="inlineStr">
        <is>
          <t>YES (Modernize)</t>
        </is>
      </c>
      <c r="E32" s="108" t="inlineStr">
        <is>
          <t>Both scan source code</t>
        </is>
      </c>
    </row>
    <row r="34">
      <c r="A34" s="10" t="inlineStr">
        <is>
          <t>GUARDRAILS &amp; SAFETY</t>
        </is>
      </c>
      <c r="B34" s="10" t="n"/>
      <c r="C34" s="10" t="n"/>
      <c r="D34" s="10" t="n"/>
      <c r="E34" s="10" t="n"/>
    </row>
    <row r="35">
      <c r="A35" s="5" t="inlineStr">
        <is>
          <t>Source Protection</t>
        </is>
      </c>
      <c r="B35" s="106" t="inlineStr">
        <is>
          <t>YES - enforced</t>
        </is>
      </c>
      <c r="C35" s="107" t="inlineStr">
        <is>
          <t>NO</t>
        </is>
      </c>
      <c r="D35" s="107" t="inlineStr">
        <is>
          <t>NO</t>
        </is>
      </c>
      <c r="E35" s="108" t="inlineStr">
        <is>
          <t>Unique to CM</t>
        </is>
      </c>
    </row>
    <row r="36">
      <c r="A36" s="5" t="inlineStr">
        <is>
          <t>Encryption Enforcement</t>
        </is>
      </c>
      <c r="B36" s="106" t="inlineStr">
        <is>
          <t>YES - enforced</t>
        </is>
      </c>
      <c r="C36" s="107" t="inlineStr">
        <is>
          <t>NO</t>
        </is>
      </c>
      <c r="D36" s="107" t="inlineStr">
        <is>
          <t>NO</t>
        </is>
      </c>
      <c r="E36" s="108" t="inlineStr">
        <is>
          <t>Unique to CM</t>
        </is>
      </c>
    </row>
    <row r="37">
      <c r="A37" s="5" t="inlineStr">
        <is>
          <t>Budget Guardrails</t>
        </is>
      </c>
      <c r="B37" s="106" t="inlineStr">
        <is>
          <t>YES - max $500 per action</t>
        </is>
      </c>
      <c r="C37" s="107" t="inlineStr">
        <is>
          <t>NO</t>
        </is>
      </c>
      <c r="D37" s="107" t="inlineStr">
        <is>
          <t>NO</t>
        </is>
      </c>
      <c r="E37" s="108" t="inlineStr">
        <is>
          <t>Unique to CM - prevents runaway costs</t>
        </is>
      </c>
    </row>
    <row r="38">
      <c r="A38" s="5" t="inlineStr">
        <is>
          <t>Code Scanning</t>
        </is>
      </c>
      <c r="B38" s="106" t="inlineStr">
        <is>
          <t>YES - enabled</t>
        </is>
      </c>
      <c r="C38" s="107" t="inlineStr">
        <is>
          <t>NO</t>
        </is>
      </c>
      <c r="D38" s="106" t="inlineStr">
        <is>
          <t>YES (5000+ rules)</t>
        </is>
      </c>
      <c r="E38" s="108" t="inlineStr">
        <is>
          <t>Both scan code, CM adds guardrails</t>
        </is>
      </c>
    </row>
    <row r="39">
      <c r="A39" s="5" t="inlineStr">
        <is>
          <t>Data Validation Required</t>
        </is>
      </c>
      <c r="B39" s="106" t="inlineStr">
        <is>
          <t>YES - enforced</t>
        </is>
      </c>
      <c r="C39" s="107" t="inlineStr">
        <is>
          <t>NO</t>
        </is>
      </c>
      <c r="D39" s="107" t="inlineStr">
        <is>
          <t>NO</t>
        </is>
      </c>
      <c r="E39" s="108" t="inlineStr">
        <is>
          <t>Unique to CM</t>
        </is>
      </c>
    </row>
    <row r="41">
      <c r="A41" s="10" t="inlineStr">
        <is>
          <t>AI FOUNDATION</t>
        </is>
      </c>
      <c r="B41" s="10" t="n"/>
      <c r="C41" s="10" t="n"/>
      <c r="D41" s="10" t="n"/>
      <c r="E41" s="10" t="n"/>
    </row>
    <row r="42">
      <c r="A42" s="5" t="inlineStr">
        <is>
          <t>LLM Integration</t>
        </is>
      </c>
      <c r="B42" s="5" t="inlineStr">
        <is>
          <t>Claude AI (Anthropic)</t>
        </is>
      </c>
      <c r="C42" s="5" t="inlineStr">
        <is>
          <t>None</t>
        </is>
      </c>
      <c r="D42" s="5" t="inlineStr">
        <is>
          <t>Not disclosed</t>
        </is>
      </c>
      <c r="E42" s="108" t="inlineStr">
        <is>
          <t>CM: Claude AI for reasoning</t>
        </is>
      </c>
    </row>
    <row r="43">
      <c r="A43" s="5" t="inlineStr">
        <is>
          <t>AI Chat/Assistant</t>
        </is>
      </c>
      <c r="B43" s="106" t="inlineStr">
        <is>
          <t>YES - migration chat</t>
        </is>
      </c>
      <c r="C43" s="107" t="inlineStr">
        <is>
          <t>NO</t>
        </is>
      </c>
      <c r="D43" s="5" t="inlineStr">
        <is>
          <t>Zero-code interface</t>
        </is>
      </c>
      <c r="E43" s="108" t="inlineStr">
        <is>
          <t>CM: AI chat, Concierto: UI</t>
        </is>
      </c>
    </row>
    <row r="44">
      <c r="A44" s="5" t="inlineStr">
        <is>
          <t>Streaming AI Responses</t>
        </is>
      </c>
      <c r="B44" s="106" t="inlineStr">
        <is>
          <t>YES - SSE streaming</t>
        </is>
      </c>
      <c r="C44" s="107" t="inlineStr">
        <is>
          <t>NO</t>
        </is>
      </c>
      <c r="D44" s="107" t="inlineStr">
        <is>
          <t>NO</t>
        </is>
      </c>
      <c r="E44" s="108" t="inlineStr">
        <is>
          <t>Unique to CM</t>
        </is>
      </c>
    </row>
    <row r="45">
      <c r="A45" s="5" t="inlineStr">
        <is>
          <t>Agentic Memory (per project)</t>
        </is>
      </c>
      <c r="B45" s="106" t="inlineStr">
        <is>
          <t>YES - context retention</t>
        </is>
      </c>
      <c r="C45" s="107" t="inlineStr">
        <is>
          <t>NO</t>
        </is>
      </c>
      <c r="D45" s="107" t="inlineStr">
        <is>
          <t>NO</t>
        </is>
      </c>
      <c r="E45" s="108" t="inlineStr">
        <is>
          <t>Unique to CM - learns per project</t>
        </is>
      </c>
    </row>
    <row r="46">
      <c r="A46" s="5" t="inlineStr">
        <is>
          <t>API Routes (Agentic)</t>
        </is>
      </c>
      <c r="B46" s="5" t="inlineStr">
        <is>
          <t>39 dedicated routes</t>
        </is>
      </c>
      <c r="C46" s="5" t="inlineStr">
        <is>
          <t>0</t>
        </is>
      </c>
      <c r="D46" s="5" t="inlineStr">
        <is>
          <t>~10 (est.)</t>
        </is>
      </c>
      <c r="E46" s="108" t="inlineStr">
        <is>
          <t>CM: 39 vs 0-10</t>
        </is>
      </c>
    </row>
    <row r="49">
      <c r="A49" s="20" t="inlineStr">
        <is>
          <t>Section B: Agentic AI Scorecard</t>
        </is>
      </c>
    </row>
    <row r="50">
      <c r="A50" s="4" t="inlineStr">
        <is>
          <t>Metric</t>
        </is>
      </c>
      <c r="B50" s="4" t="inlineStr">
        <is>
          <t>CloudMigrate</t>
        </is>
      </c>
      <c r="C50" s="4" t="inlineStr">
        <is>
          <t>Matilda</t>
        </is>
      </c>
      <c r="D50" s="4" t="inlineStr">
        <is>
          <t>Concierto</t>
        </is>
      </c>
    </row>
    <row r="51">
      <c r="A51" s="78" t="inlineStr">
        <is>
          <t>Autonomous AI Agents</t>
        </is>
      </c>
      <c r="B51" s="77" t="n">
        <v>10</v>
      </c>
      <c r="C51" s="110" t="n">
        <v>0</v>
      </c>
      <c r="D51" s="5" t="n">
        <v>2</v>
      </c>
    </row>
    <row r="52">
      <c r="A52" s="78" t="inlineStr">
        <is>
          <t>ML Prediction Models</t>
        </is>
      </c>
      <c r="B52" s="5" t="n">
        <v>4</v>
      </c>
      <c r="C52" s="110" t="n">
        <v>0</v>
      </c>
      <c r="D52" s="5" t="n">
        <v>1</v>
      </c>
    </row>
    <row r="53">
      <c r="A53" s="78" t="inlineStr">
        <is>
          <t>MCP Microservices</t>
        </is>
      </c>
      <c r="B53" s="77" t="n">
        <v>8</v>
      </c>
      <c r="C53" s="110" t="n">
        <v>0</v>
      </c>
      <c r="D53" s="5" t="n">
        <v>3</v>
      </c>
    </row>
    <row r="54">
      <c r="A54" s="78" t="inlineStr">
        <is>
          <t>Guardrails &amp; Safety Controls</t>
        </is>
      </c>
      <c r="B54" s="77" t="n">
        <v>5</v>
      </c>
      <c r="C54" s="110" t="n">
        <v>0</v>
      </c>
      <c r="D54" s="5" t="n">
        <v>1</v>
      </c>
    </row>
    <row r="55">
      <c r="A55" s="78" t="inlineStr">
        <is>
          <t>LLM Integration (Claude AI)</t>
        </is>
      </c>
      <c r="B55" s="77" t="inlineStr">
        <is>
          <t>YES</t>
        </is>
      </c>
      <c r="C55" s="110" t="inlineStr">
        <is>
          <t>NO</t>
        </is>
      </c>
      <c r="D55" s="110" t="inlineStr">
        <is>
          <t>NO</t>
        </is>
      </c>
    </row>
    <row r="56">
      <c r="A56" s="78" t="inlineStr">
        <is>
          <t>Agentic API Routes</t>
        </is>
      </c>
      <c r="B56" s="77" t="n">
        <v>39</v>
      </c>
      <c r="C56" s="110" t="n">
        <v>0</v>
      </c>
      <c r="D56" s="5" t="inlineStr">
        <is>
          <t>~10</t>
        </is>
      </c>
    </row>
    <row r="57">
      <c r="A57" s="78" t="inlineStr">
        <is>
          <t>AI Chat/Streaming</t>
        </is>
      </c>
      <c r="B57" s="77" t="inlineStr">
        <is>
          <t>YES</t>
        </is>
      </c>
      <c r="C57" s="110" t="inlineStr">
        <is>
          <t>NO</t>
        </is>
      </c>
      <c r="D57" s="5" t="inlineStr">
        <is>
          <t>UI-based</t>
        </is>
      </c>
    </row>
    <row r="58">
      <c r="A58" s="78" t="inlineStr">
        <is>
          <t>Project Memory/Context</t>
        </is>
      </c>
      <c r="B58" s="77" t="inlineStr">
        <is>
          <t>YES</t>
        </is>
      </c>
      <c r="C58" s="110" t="inlineStr">
        <is>
          <t>NO</t>
        </is>
      </c>
      <c r="D58" s="110" t="inlineStr">
        <is>
          <t>NO</t>
        </is>
      </c>
    </row>
    <row r="59">
      <c r="A59" s="15" t="inlineStr">
        <is>
          <t>TOTAL AI CAPABILITIES</t>
        </is>
      </c>
      <c r="B59" s="15" t="inlineStr">
        <is>
          <t>10 agents + 4 ML + 8 MCP + guardrails</t>
        </is>
      </c>
      <c r="C59" s="15" t="inlineStr">
        <is>
          <t>0 agents, rule-based only</t>
        </is>
      </c>
      <c r="D59" s="15" t="inlineStr">
        <is>
          <t>2 partial, AI in discovery+modernize</t>
        </is>
      </c>
    </row>
    <row r="62">
      <c r="A62" s="20" t="inlineStr">
        <is>
          <t>Section C: How Agentic AI Translates to Migration Savings</t>
        </is>
      </c>
    </row>
    <row r="63">
      <c r="A63" s="4" t="inlineStr">
        <is>
          <t>AI Capability</t>
        </is>
      </c>
      <c r="B63" s="4" t="inlineStr">
        <is>
          <t>Migration Phase Impacted</t>
        </is>
      </c>
      <c r="C63" s="4" t="inlineStr">
        <is>
          <t>Savings Impact</t>
        </is>
      </c>
      <c r="D63" s="4" t="inlineStr">
        <is>
          <t>Why It Matters for PG&amp;E</t>
        </is>
      </c>
    </row>
    <row r="64" ht="35" customHeight="1">
      <c r="A64" s="5" t="inlineStr">
        <is>
          <t>IAM Agent</t>
        </is>
      </c>
      <c r="B64" s="5" t="inlineStr">
        <is>
          <t>Build &amp; Execution</t>
        </is>
      </c>
      <c r="C64" s="40" t="inlineStr">
        <is>
          <t>+3-5% on LZ/provisioning</t>
        </is>
      </c>
      <c r="D64" s="81" t="inlineStr">
        <is>
          <t>Auto-designs IAM roles per app — 415 apps x manual role design = weeks saved</t>
        </is>
      </c>
    </row>
    <row r="65" ht="35" customHeight="1">
      <c r="A65" s="5" t="inlineStr">
        <is>
          <t>Compliance Agent</t>
        </is>
      </c>
      <c r="B65" s="5" t="inlineStr">
        <is>
          <t>All phases</t>
        </is>
      </c>
      <c r="C65" s="40" t="inlineStr">
        <is>
          <t>+2% on compliance</t>
        </is>
      </c>
      <c r="D65" s="81" t="inlineStr">
        <is>
          <t>Auto-checks NERC CIP frameworks — reduces manual audit prep by 50%</t>
        </is>
      </c>
    </row>
    <row r="66" ht="35" customHeight="1">
      <c r="A66" s="5" t="inlineStr">
        <is>
          <t>Containerization Agent</t>
        </is>
      </c>
      <c r="B66" s="5" t="inlineStr">
        <is>
          <t>Build (159 apps)</t>
        </is>
      </c>
      <c r="C66" s="40" t="inlineStr">
        <is>
          <t>+5-10% on container gen</t>
        </is>
      </c>
      <c r="D66" s="81" t="inlineStr">
        <is>
          <t>AI-generates Dockerfiles from source — 159 apps containerized faster</t>
        </is>
      </c>
    </row>
    <row r="67" ht="35" customHeight="1">
      <c r="A67" s="5" t="inlineStr">
        <is>
          <t>Wave Planning Agent</t>
        </is>
      </c>
      <c r="B67" s="5" t="inlineStr">
        <is>
          <t>Planning</t>
        </is>
      </c>
      <c r="C67" s="40" t="inlineStr">
        <is>
          <t>+3-5% on wave planning</t>
        </is>
      </c>
      <c r="D67" s="81" t="inlineStr">
        <is>
          <t>AI-optimized dependency grouping — 415 apps across 7 waves</t>
        </is>
      </c>
    </row>
    <row r="68" ht="35" customHeight="1">
      <c r="A68" s="5" t="inlineStr">
        <is>
          <t>DR Agent</t>
        </is>
      </c>
      <c r="B68" s="5" t="inlineStr">
        <is>
          <t>Planning + Post-migration</t>
        </is>
      </c>
      <c r="C68" s="40" t="inlineStr">
        <is>
          <t>+2% on DR strategy</t>
        </is>
      </c>
      <c r="D68" s="81" t="inlineStr">
        <is>
          <t>Auto-generates failover runbooks per wave — reduces DR planning from weeks to days</t>
        </is>
      </c>
    </row>
    <row r="69" ht="35" customHeight="1">
      <c r="A69" s="5" t="inlineStr">
        <is>
          <t>Data Masking Agent</t>
        </is>
      </c>
      <c r="B69" s="5" t="inlineStr">
        <is>
          <t>Pre-migration</t>
        </is>
      </c>
      <c r="C69" s="40" t="inlineStr">
        <is>
          <t>+1-2% on compliance</t>
        </is>
      </c>
      <c r="D69" s="81" t="inlineStr">
        <is>
          <t>Auto-scans PII in 4273 servers — GDPR/PCI compliance for PG&amp;E customer data</t>
        </is>
      </c>
    </row>
    <row r="70" ht="35" customHeight="1">
      <c r="A70" s="5" t="inlineStr">
        <is>
          <t>Rollback Decision Agent</t>
        </is>
      </c>
      <c r="B70" s="5" t="inlineStr">
        <is>
          <t>Execution</t>
        </is>
      </c>
      <c r="C70" s="40" t="inlineStr">
        <is>
          <t>Risk reduction</t>
        </is>
      </c>
      <c r="D70" s="81" t="inlineStr">
        <is>
          <t>AI go/no-go decision per wave cutover — reduces human error on critical decisions</t>
        </is>
      </c>
    </row>
    <row r="71" ht="35" customHeight="1">
      <c r="A71" s="5" t="inlineStr">
        <is>
          <t>App Classifier (91% ML)</t>
        </is>
      </c>
      <c r="B71" s="5" t="inlineStr">
        <is>
          <t>Discovery</t>
        </is>
      </c>
      <c r="C71" s="40" t="inlineStr">
        <is>
          <t>+2-3% on 6R classification</t>
        </is>
      </c>
      <c r="D71" s="81" t="inlineStr">
        <is>
          <t>91% accuracy classifying 415 apps — reduces manual classification by 90%</t>
        </is>
      </c>
    </row>
    <row r="72" ht="35" customHeight="1">
      <c r="A72" s="5" t="inlineStr">
        <is>
          <t>Duration Predictor (ML)</t>
        </is>
      </c>
      <c r="B72" s="5" t="inlineStr">
        <is>
          <t>Planning</t>
        </is>
      </c>
      <c r="C72" s="40" t="inlineStr">
        <is>
          <t>Better scheduling</t>
        </is>
      </c>
      <c r="D72" s="81" t="inlineStr">
        <is>
          <t>Predicts per-wave duration — enables realistic project scheduling for 7 waves</t>
        </is>
      </c>
    </row>
    <row r="73" ht="35" customHeight="1">
      <c r="A73" s="5" t="inlineStr">
        <is>
          <t>Anomaly Detector (ML)</t>
        </is>
      </c>
      <c r="B73" s="5" t="inlineStr">
        <is>
          <t>Post-migration</t>
        </is>
      </c>
      <c r="C73" s="40" t="inlineStr">
        <is>
          <t>Risk reduction</t>
        </is>
      </c>
      <c r="D73" s="81" t="inlineStr">
        <is>
          <t>Catches performance anomalies post-migration before users report issues</t>
        </is>
      </c>
    </row>
    <row r="74" ht="35" customHeight="1">
      <c r="A74" s="5" t="inlineStr">
        <is>
          <t>Terraform Gen Service</t>
        </is>
      </c>
      <c r="B74" s="5" t="inlineStr">
        <is>
          <t>Build</t>
        </is>
      </c>
      <c r="C74" s="40" t="inlineStr">
        <is>
          <t>+5% on IaC</t>
        </is>
      </c>
      <c r="D74" s="81" t="inlineStr">
        <is>
          <t>Auto-generates HCL from discovery — neither Matilda nor Concierto has this</t>
        </is>
      </c>
    </row>
    <row r="75" ht="35" customHeight="1">
      <c r="A75" s="5" t="inlineStr">
        <is>
          <t>Guardrails Engine</t>
        </is>
      </c>
      <c r="B75" s="5" t="inlineStr">
        <is>
          <t>Execution</t>
        </is>
      </c>
      <c r="C75" s="40" t="inlineStr">
        <is>
          <t>Cost protection</t>
        </is>
      </c>
      <c r="D75" s="81" t="inlineStr">
        <is>
          <t>Prevents runaway cloud spending during migration — $500 budget cap per action</t>
        </is>
      </c>
    </row>
    <row r="78">
      <c r="A78" s="105" t="inlineStr">
        <is>
          <t>EXECUTIVE BOTTOM LINE: Agentic AI Differentiation</t>
        </is>
      </c>
    </row>
    <row r="79">
      <c r="A79" s="94" t="inlineStr">
        <is>
          <t>CloudMigrate.store is the ONLY platform with true Agentic AI architecture:</t>
        </is>
      </c>
    </row>
    <row r="80">
      <c r="A80" s="95" t="inlineStr">
        <is>
          <t xml:space="preserve">  10 autonomous Claude-powered agents that reason, plan, and execute migration tasks</t>
        </is>
      </c>
    </row>
    <row r="81">
      <c r="A81" s="95" t="inlineStr">
        <is>
          <t xml:space="preserve">  4 ML models trained on migration data (91% app classification accuracy)</t>
        </is>
      </c>
    </row>
    <row r="82">
      <c r="A82" s="95" t="inlineStr">
        <is>
          <t xml:space="preserve">  8 dedicated MCP microservices for specialized migration functions</t>
        </is>
      </c>
    </row>
    <row r="83">
      <c r="A83" s="95" t="inlineStr">
        <is>
          <t xml:space="preserve">  Guardrails engine preventing runaway costs and unsafe operations</t>
        </is>
      </c>
    </row>
    <row r="84">
      <c r="A84" s="95" t="inlineStr"/>
    </row>
    <row r="85">
      <c r="A85" s="94" t="inlineStr">
        <is>
          <t>Matilda Cloud: Zero AI agents. Rule-based automation only. Good execution engine but no intelligence layer.</t>
        </is>
      </c>
    </row>
    <row r="86">
      <c r="A86" s="94" t="inlineStr">
        <is>
          <t>Concierto Migrate: AI in discovery (CloudIgnite) + modernization (5000+ rules) but NOT agentic — no autonomous agents.</t>
        </is>
      </c>
    </row>
    <row r="87">
      <c r="A87" s="95" t="inlineStr"/>
    </row>
    <row r="88">
      <c r="A88" s="94" t="inlineStr">
        <is>
          <t>The Agentic AI layer is what enables CloudMigrate's +4% over Matilda and +1% over Concierto:</t>
        </is>
      </c>
    </row>
    <row r="89">
      <c r="A89" s="95" t="inlineStr">
        <is>
          <t xml:space="preserve">  AI agents make context-aware decisions (not just follow rules)</t>
        </is>
      </c>
    </row>
    <row r="90">
      <c r="A90" s="95" t="inlineStr">
        <is>
          <t xml:space="preserve">  ML models predict outcomes (not just report current state)</t>
        </is>
      </c>
    </row>
    <row r="91">
      <c r="A91" s="95" t="inlineStr">
        <is>
          <t xml:space="preserve">  MCP services provide specialized intelligence (not just generic APIs)</t>
        </is>
      </c>
    </row>
    <row r="92">
      <c r="A92" s="94" t="inlineStr">
        <is>
          <t xml:space="preserve">  Guardrails ensure safety (neither Matilda nor Concierto has this)</t>
        </is>
      </c>
    </row>
    <row r="93">
      <c r="A93" s="95" t="inlineStr"/>
    </row>
    <row r="94">
      <c r="A94" s="95" t="inlineStr">
        <is>
          <t>For PG&amp;E (415 apps, 4273 servers, NERC CIP): The IAM Agent, Compliance Agent, and Data Masking Agent</t>
        </is>
      </c>
    </row>
    <row r="95">
      <c r="A95" s="95" t="inlineStr">
        <is>
          <t>are particularly valuable for a regulated utility handling customer energy data.</t>
        </is>
      </c>
    </row>
  </sheetData>
  <mergeCells count="6">
    <mergeCell ref="A4:H4"/>
    <mergeCell ref="A62:H62"/>
    <mergeCell ref="A78:H78"/>
    <mergeCell ref="A2:H2"/>
    <mergeCell ref="A49:H49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CloudMigrate.store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113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0.38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113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0.38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113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0.38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113" t="inlineStr">
        <is>
          <t>AWS (107 apps)</t>
        </is>
      </c>
      <c r="B14" s="5" t="n">
        <v>203</v>
      </c>
      <c r="C14" s="5" t="n">
        <v>4</v>
      </c>
      <c r="D14" s="22" t="n">
        <v>1050</v>
      </c>
      <c r="E14" s="22">
        <f>B14*C14*D14</f>
        <v/>
      </c>
      <c r="F14" s="22">
        <f>E14*0.13</f>
        <v/>
      </c>
      <c r="G14" s="22" t="n">
        <v>21333</v>
      </c>
      <c r="H14" s="22" t="n">
        <v>20000</v>
      </c>
      <c r="I14" s="22">
        <f>E14+F14+G14+H14</f>
        <v/>
      </c>
    </row>
    <row r="15">
      <c r="A15" s="113" t="inlineStr">
        <is>
          <t>Azure (145 apps)</t>
        </is>
      </c>
      <c r="B15" s="5" t="n">
        <v>204</v>
      </c>
      <c r="C15" s="5" t="n">
        <v>5</v>
      </c>
      <c r="D15" s="22" t="n">
        <v>1050</v>
      </c>
      <c r="E15" s="22">
        <f>B15*C15*D15</f>
        <v/>
      </c>
      <c r="F15" s="22">
        <f>E15*0.13</f>
        <v/>
      </c>
      <c r="G15" s="22" t="n">
        <v>21333</v>
      </c>
      <c r="H15" s="22" t="n">
        <v>20000</v>
      </c>
      <c r="I15" s="22">
        <f>E15+F15+G15+H15</f>
        <v/>
      </c>
    </row>
    <row r="16">
      <c r="A16" s="113" t="inlineStr">
        <is>
          <t>Azure Local/HV (130 apps)</t>
        </is>
      </c>
      <c r="B16" s="5" t="n">
        <v>223</v>
      </c>
      <c r="C16" s="5" t="n">
        <v>5</v>
      </c>
      <c r="D16" s="22" t="n">
        <v>1050</v>
      </c>
      <c r="E16" s="22">
        <f>B16*C16*D16</f>
        <v/>
      </c>
      <c r="F16" s="22">
        <f>E16*0.13</f>
        <v/>
      </c>
      <c r="G16" s="22" t="n">
        <v>21333</v>
      </c>
      <c r="H16" s="22" t="n">
        <v>20000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14" t="n">
        <v>10174500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15">
        <f>I20-I18</f>
        <v/>
      </c>
    </row>
    <row r="23">
      <c r="A23" s="29" t="inlineStr">
        <is>
          <t>Tool: CloudMigrate.store</t>
        </is>
      </c>
    </row>
    <row r="24">
      <c r="A24" s="116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2026-04-02T19:31:05Z</dcterms:created>
  <dcterms:modified xmlns:dcterms="http://purl.org/dc/terms/" xmlns:xsi="http://www.w3.org/2001/XMLSchema-instance" xsi:type="dcterms:W3CDTF">2026-04-02T23:38:56Z</dcterms:modified>
</cp:coreProperties>
</file>